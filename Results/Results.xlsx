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teresaelia/Downloads/"/>
    </mc:Choice>
  </mc:AlternateContent>
  <xr:revisionPtr revIDLastSave="0" documentId="8_{BC42AB8E-7E7B-E845-A82A-D7DAA2C05241}" xr6:coauthVersionLast="47" xr6:coauthVersionMax="47" xr10:uidLastSave="{00000000-0000-0000-0000-000000000000}"/>
  <bookViews>
    <workbookView xWindow="0" yWindow="660" windowWidth="30240" windowHeight="17560" activeTab="2" xr2:uid="{00000000-000D-0000-FFFF-FFFF00000000}"/>
  </bookViews>
  <sheets>
    <sheet name="AI_based_Results" sheetId="1" r:id="rId1"/>
    <sheet name="Medini_Results" sheetId="2" r:id="rId2"/>
    <sheet name="Medini_vs_AI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9" i="1" l="1"/>
  <c r="G49" i="1"/>
  <c r="F49" i="1"/>
  <c r="E49" i="1"/>
  <c r="D49" i="1"/>
  <c r="I49" i="1" s="1"/>
  <c r="I48" i="1"/>
  <c r="I47" i="1"/>
  <c r="I46" i="1"/>
  <c r="I45" i="1"/>
  <c r="I44" i="1"/>
  <c r="I43" i="1"/>
  <c r="H41" i="1"/>
  <c r="I41" i="1" s="1"/>
  <c r="G41" i="1"/>
  <c r="F41" i="1"/>
  <c r="E41" i="1"/>
  <c r="D41" i="1"/>
  <c r="I40" i="1"/>
  <c r="I39" i="1"/>
  <c r="I38" i="1"/>
  <c r="I37" i="1"/>
  <c r="I36" i="1"/>
  <c r="I35" i="1"/>
  <c r="I33" i="1"/>
  <c r="H33" i="1"/>
  <c r="G33" i="1"/>
  <c r="F33" i="1"/>
  <c r="E33" i="1"/>
  <c r="D33" i="1"/>
  <c r="I32" i="1"/>
  <c r="I31" i="1"/>
  <c r="I30" i="1"/>
  <c r="I29" i="1"/>
  <c r="I28" i="1"/>
  <c r="I27" i="1"/>
  <c r="H25" i="1"/>
  <c r="G25" i="1"/>
  <c r="F25" i="1"/>
  <c r="E25" i="1"/>
  <c r="D25" i="1"/>
  <c r="I25" i="1" s="1"/>
  <c r="I24" i="1"/>
  <c r="I23" i="1"/>
  <c r="I22" i="1"/>
  <c r="I21" i="1"/>
  <c r="I20" i="1"/>
  <c r="I19" i="1"/>
  <c r="H17" i="1"/>
  <c r="G17" i="1"/>
  <c r="F17" i="1"/>
  <c r="E17" i="1"/>
  <c r="D17" i="1"/>
  <c r="I17" i="1" s="1"/>
  <c r="I16" i="1"/>
  <c r="I15" i="1"/>
  <c r="I14" i="1"/>
  <c r="I13" i="1"/>
  <c r="I12" i="1"/>
  <c r="I11" i="1"/>
  <c r="H9" i="1"/>
  <c r="G9" i="1"/>
  <c r="F9" i="1"/>
  <c r="E9" i="1"/>
  <c r="D9" i="1"/>
  <c r="I9" i="1" s="1"/>
  <c r="I8" i="1"/>
  <c r="I7" i="1"/>
  <c r="I6" i="1"/>
  <c r="I5" i="1"/>
  <c r="I4" i="1"/>
  <c r="I3" i="1"/>
</calcChain>
</file>

<file path=xl/sharedStrings.xml><?xml version="1.0" encoding="utf-8"?>
<sst xmlns="http://schemas.openxmlformats.org/spreadsheetml/2006/main" count="50" uniqueCount="15">
  <si>
    <t>Category</t>
  </si>
  <si>
    <t>Average</t>
  </si>
  <si>
    <t>Gemini Flash 3.8</t>
  </si>
  <si>
    <t>Spoofing</t>
  </si>
  <si>
    <t>Tampering</t>
  </si>
  <si>
    <t>Repudiation</t>
  </si>
  <si>
    <t>Information Disclosure</t>
  </si>
  <si>
    <t>Denial of Service</t>
  </si>
  <si>
    <t>Elevation of Privilege</t>
  </si>
  <si>
    <t>Total</t>
  </si>
  <si>
    <t>Opus 5.5 Extra</t>
  </si>
  <si>
    <t>Gemini Pro 3.1e</t>
  </si>
  <si>
    <t>Notebook LM</t>
  </si>
  <si>
    <t>GPT 6</t>
  </si>
  <si>
    <t>Sonet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</si>
</sst>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color rgb="FF000000"/>
      <name val="Arial"/>
      <scheme val="minor"/>
    </font>
    <font>
      <sz val="11"/>
      <color rgb="FF000000"/>
      <name val="&quot;Aptos Narrow&quot;"/>
    </font>
    <font>
      <b/>
      <sz val="10"/>
      <color rgb="FFFFFFFF"/>
      <name val="Arial"/>
      <family val="2"/>
    </font>
    <font>
      <sz val="11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D0E0E3"/>
        <bgColor rgb="FFD0E0E3"/>
      </patternFill>
    </fill>
    <fill>
      <patternFill patternType="solid">
        <fgColor rgb="FFF2F2F2"/>
        <bgColor rgb="FFF2F2F2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/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4" fillId="4" borderId="4" xfId="0" applyFont="1" applyFill="1" applyBorder="1"/>
    <xf numFmtId="1" fontId="5" fillId="0" borderId="4" xfId="0" applyNumberFormat="1" applyFont="1" applyBorder="1" applyAlignment="1">
      <alignment horizontal="center"/>
    </xf>
    <xf numFmtId="1" fontId="4" fillId="5" borderId="4" xfId="0" applyNumberFormat="1" applyFont="1" applyFill="1" applyBorder="1" applyAlignment="1">
      <alignment horizontal="center"/>
    </xf>
    <xf numFmtId="1" fontId="4" fillId="6" borderId="4" xfId="0" applyNumberFormat="1" applyFont="1" applyFill="1" applyBorder="1"/>
    <xf numFmtId="1" fontId="4" fillId="6" borderId="4" xfId="0" applyNumberFormat="1" applyFont="1" applyFill="1" applyBorder="1" applyAlignment="1">
      <alignment horizont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4" fillId="6" borderId="4" xfId="0" applyFont="1" applyFill="1" applyBorder="1"/>
    <xf numFmtId="0" fontId="4" fillId="6" borderId="4" xfId="0" applyFont="1" applyFill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8" fillId="0" borderId="0" xfId="0" applyFont="1" applyAlignment="1">
      <alignment vertical="center"/>
    </xf>
    <xf numFmtId="0" fontId="9" fillId="0" borderId="5" xfId="0" applyFont="1" applyBorder="1" applyAlignment="1">
      <alignment horizontal="center"/>
    </xf>
    <xf numFmtId="0" fontId="3" fillId="3" borderId="3" xfId="0" applyFont="1" applyFill="1" applyBorder="1" applyAlignment="1">
      <alignment horizontal="center" vertical="center"/>
    </xf>
    <xf numFmtId="0" fontId="6" fillId="0" borderId="3" xfId="0" applyFont="1" applyBorder="1"/>
    <xf numFmtId="0" fontId="6" fillId="0" borderId="4" xfId="0" applyFont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2:M49"/>
  <sheetViews>
    <sheetView topLeftCell="A21" workbookViewId="0">
      <selection activeCell="L36" sqref="L36"/>
    </sheetView>
  </sheetViews>
  <sheetFormatPr baseColWidth="10" defaultColWidth="12.6640625" defaultRowHeight="15.75" customHeight="1"/>
  <cols>
    <col min="2" max="2" width="14.83203125" customWidth="1"/>
    <col min="3" max="3" width="19.1640625" customWidth="1"/>
    <col min="9" max="9" width="14.6640625" customWidth="1"/>
  </cols>
  <sheetData>
    <row r="2" spans="2:9" ht="15.75" customHeight="1">
      <c r="B2" s="1"/>
      <c r="C2" s="2" t="s">
        <v>0</v>
      </c>
      <c r="D2" s="3">
        <v>1</v>
      </c>
      <c r="E2" s="3">
        <v>2</v>
      </c>
      <c r="F2" s="3">
        <v>3</v>
      </c>
      <c r="G2" s="3">
        <v>4</v>
      </c>
      <c r="H2" s="3">
        <v>5</v>
      </c>
      <c r="I2" s="3" t="s">
        <v>1</v>
      </c>
    </row>
    <row r="3" spans="2:9" ht="15.75" customHeight="1">
      <c r="B3" s="17" t="s">
        <v>2</v>
      </c>
      <c r="C3" s="4" t="s">
        <v>3</v>
      </c>
      <c r="D3" s="5">
        <v>4</v>
      </c>
      <c r="E3" s="5">
        <v>9</v>
      </c>
      <c r="F3" s="5">
        <v>7</v>
      </c>
      <c r="G3" s="5">
        <v>3</v>
      </c>
      <c r="H3" s="5">
        <v>6</v>
      </c>
      <c r="I3" s="6">
        <f t="shared" ref="I3:I9" si="0">AVERAGE(D3:H3)</f>
        <v>5.8</v>
      </c>
    </row>
    <row r="4" spans="2:9" ht="15.75" customHeight="1">
      <c r="B4" s="18"/>
      <c r="C4" s="4" t="s">
        <v>4</v>
      </c>
      <c r="D4" s="5">
        <v>4</v>
      </c>
      <c r="E4" s="5">
        <v>10</v>
      </c>
      <c r="F4" s="5">
        <v>8</v>
      </c>
      <c r="G4" s="5">
        <v>5</v>
      </c>
      <c r="H4" s="5">
        <v>6</v>
      </c>
      <c r="I4" s="6">
        <f t="shared" si="0"/>
        <v>6.6</v>
      </c>
    </row>
    <row r="5" spans="2:9" ht="15.75" customHeight="1">
      <c r="B5" s="18"/>
      <c r="C5" s="4" t="s">
        <v>5</v>
      </c>
      <c r="D5" s="5">
        <v>2</v>
      </c>
      <c r="E5" s="5">
        <v>1</v>
      </c>
      <c r="F5" s="5">
        <v>4</v>
      </c>
      <c r="G5" s="5">
        <v>2</v>
      </c>
      <c r="H5" s="5">
        <v>3</v>
      </c>
      <c r="I5" s="6">
        <f t="shared" si="0"/>
        <v>2.4</v>
      </c>
    </row>
    <row r="6" spans="2:9" ht="15.75" customHeight="1">
      <c r="B6" s="18"/>
      <c r="C6" s="4" t="s">
        <v>6</v>
      </c>
      <c r="D6" s="5">
        <v>2</v>
      </c>
      <c r="E6" s="5">
        <v>2</v>
      </c>
      <c r="F6" s="5">
        <v>4</v>
      </c>
      <c r="G6" s="5">
        <v>3</v>
      </c>
      <c r="H6" s="5">
        <v>4</v>
      </c>
      <c r="I6" s="6">
        <f t="shared" si="0"/>
        <v>3</v>
      </c>
    </row>
    <row r="7" spans="2:9" ht="15.75" customHeight="1">
      <c r="B7" s="18"/>
      <c r="C7" s="4" t="s">
        <v>7</v>
      </c>
      <c r="D7" s="5">
        <v>4</v>
      </c>
      <c r="E7" s="5">
        <v>9</v>
      </c>
      <c r="F7" s="5">
        <v>7</v>
      </c>
      <c r="G7" s="5">
        <v>5</v>
      </c>
      <c r="H7" s="5">
        <v>6</v>
      </c>
      <c r="I7" s="6">
        <f t="shared" si="0"/>
        <v>6.2</v>
      </c>
    </row>
    <row r="8" spans="2:9" ht="15.75" customHeight="1">
      <c r="B8" s="18"/>
      <c r="C8" s="4" t="s">
        <v>8</v>
      </c>
      <c r="D8" s="5">
        <v>3</v>
      </c>
      <c r="E8" s="5">
        <v>1</v>
      </c>
      <c r="F8" s="5">
        <v>4</v>
      </c>
      <c r="G8" s="5">
        <v>2</v>
      </c>
      <c r="H8" s="5">
        <v>4</v>
      </c>
      <c r="I8" s="6">
        <f t="shared" si="0"/>
        <v>2.8</v>
      </c>
    </row>
    <row r="9" spans="2:9" ht="15.75" customHeight="1">
      <c r="B9" s="19"/>
      <c r="C9" s="7" t="s">
        <v>9</v>
      </c>
      <c r="D9" s="8">
        <f t="shared" ref="D9:H9" si="1">SUM(D3:D8)</f>
        <v>19</v>
      </c>
      <c r="E9" s="8">
        <f t="shared" si="1"/>
        <v>32</v>
      </c>
      <c r="F9" s="8">
        <f t="shared" si="1"/>
        <v>34</v>
      </c>
      <c r="G9" s="8">
        <f t="shared" si="1"/>
        <v>20</v>
      </c>
      <c r="H9" s="8">
        <f t="shared" si="1"/>
        <v>29</v>
      </c>
      <c r="I9" s="6">
        <f t="shared" si="0"/>
        <v>26.8</v>
      </c>
    </row>
    <row r="10" spans="2:9" ht="15.75" customHeight="1">
      <c r="B10" s="9"/>
      <c r="C10" s="2"/>
      <c r="D10" s="10"/>
      <c r="E10" s="10"/>
      <c r="F10" s="10"/>
      <c r="G10" s="10"/>
      <c r="H10" s="10"/>
      <c r="I10" s="10"/>
    </row>
    <row r="11" spans="2:9" ht="15.75" customHeight="1">
      <c r="B11" s="17" t="s">
        <v>10</v>
      </c>
      <c r="C11" s="4" t="s">
        <v>3</v>
      </c>
      <c r="D11" s="11">
        <v>19</v>
      </c>
      <c r="E11" s="11">
        <v>19</v>
      </c>
      <c r="F11" s="11">
        <v>17</v>
      </c>
      <c r="G11" s="11">
        <v>19</v>
      </c>
      <c r="H11" s="11">
        <v>10</v>
      </c>
      <c r="I11" s="6">
        <f t="shared" ref="I11:I17" si="2">AVERAGE(D11:H11)</f>
        <v>16.8</v>
      </c>
    </row>
    <row r="12" spans="2:9" ht="15.75" customHeight="1">
      <c r="B12" s="18"/>
      <c r="C12" s="4" t="s">
        <v>4</v>
      </c>
      <c r="D12" s="11">
        <v>19</v>
      </c>
      <c r="E12" s="11">
        <v>19</v>
      </c>
      <c r="F12" s="11">
        <v>19</v>
      </c>
      <c r="G12" s="11">
        <v>19</v>
      </c>
      <c r="H12" s="11">
        <v>19</v>
      </c>
      <c r="I12" s="6">
        <f t="shared" si="2"/>
        <v>19</v>
      </c>
    </row>
    <row r="13" spans="2:9" ht="15.75" customHeight="1">
      <c r="B13" s="18"/>
      <c r="C13" s="4" t="s">
        <v>5</v>
      </c>
      <c r="D13" s="11">
        <v>19</v>
      </c>
      <c r="E13" s="11">
        <v>19</v>
      </c>
      <c r="F13" s="11">
        <v>5</v>
      </c>
      <c r="G13" s="11">
        <v>19</v>
      </c>
      <c r="H13" s="11">
        <v>10</v>
      </c>
      <c r="I13" s="6">
        <f t="shared" si="2"/>
        <v>14.4</v>
      </c>
    </row>
    <row r="14" spans="2:9" ht="15.75" customHeight="1">
      <c r="B14" s="18"/>
      <c r="C14" s="4" t="s">
        <v>6</v>
      </c>
      <c r="D14" s="11">
        <v>19</v>
      </c>
      <c r="E14" s="11">
        <v>19</v>
      </c>
      <c r="F14" s="11">
        <v>17</v>
      </c>
      <c r="G14" s="11">
        <v>19</v>
      </c>
      <c r="H14" s="11">
        <v>19</v>
      </c>
      <c r="I14" s="6">
        <f t="shared" si="2"/>
        <v>18.600000000000001</v>
      </c>
    </row>
    <row r="15" spans="2:9" ht="15.75" customHeight="1">
      <c r="B15" s="18"/>
      <c r="C15" s="4" t="s">
        <v>7</v>
      </c>
      <c r="D15" s="11">
        <v>19</v>
      </c>
      <c r="E15" s="11">
        <v>19</v>
      </c>
      <c r="F15" s="11">
        <v>19</v>
      </c>
      <c r="G15" s="11">
        <v>19</v>
      </c>
      <c r="H15" s="11">
        <v>19</v>
      </c>
      <c r="I15" s="6">
        <f t="shared" si="2"/>
        <v>19</v>
      </c>
    </row>
    <row r="16" spans="2:9" ht="15.75" customHeight="1">
      <c r="B16" s="18"/>
      <c r="C16" s="4" t="s">
        <v>8</v>
      </c>
      <c r="D16" s="11">
        <v>19</v>
      </c>
      <c r="E16" s="11">
        <v>19</v>
      </c>
      <c r="F16" s="11">
        <v>5</v>
      </c>
      <c r="G16" s="11">
        <v>19</v>
      </c>
      <c r="H16" s="11">
        <v>10</v>
      </c>
      <c r="I16" s="6">
        <f t="shared" si="2"/>
        <v>14.4</v>
      </c>
    </row>
    <row r="17" spans="2:13" ht="15.75" customHeight="1">
      <c r="B17" s="18"/>
      <c r="C17" s="12" t="s">
        <v>9</v>
      </c>
      <c r="D17" s="13">
        <f t="shared" ref="D17:H17" si="3">SUM(D11:D16)</f>
        <v>114</v>
      </c>
      <c r="E17" s="13">
        <f t="shared" si="3"/>
        <v>114</v>
      </c>
      <c r="F17" s="13">
        <f t="shared" si="3"/>
        <v>82</v>
      </c>
      <c r="G17" s="13">
        <f t="shared" si="3"/>
        <v>114</v>
      </c>
      <c r="H17" s="13">
        <f t="shared" si="3"/>
        <v>87</v>
      </c>
      <c r="I17" s="6">
        <f t="shared" si="2"/>
        <v>102.2</v>
      </c>
    </row>
    <row r="18" spans="2:13" ht="15.75" customHeight="1">
      <c r="B18" s="2"/>
      <c r="C18" s="10"/>
      <c r="D18" s="10"/>
      <c r="E18" s="10"/>
      <c r="F18" s="10"/>
      <c r="G18" s="10"/>
      <c r="H18" s="10"/>
      <c r="I18" s="10"/>
    </row>
    <row r="19" spans="2:13" ht="15.75" customHeight="1">
      <c r="B19" s="17" t="s">
        <v>11</v>
      </c>
      <c r="C19" s="4" t="s">
        <v>3</v>
      </c>
      <c r="D19" s="14">
        <v>2</v>
      </c>
      <c r="E19" s="14">
        <v>2</v>
      </c>
      <c r="F19" s="14">
        <v>2</v>
      </c>
      <c r="G19" s="14">
        <v>2</v>
      </c>
      <c r="H19" s="14">
        <v>2</v>
      </c>
      <c r="I19" s="6">
        <f t="shared" ref="I19:I25" si="4">AVERAGE(D19:H19)</f>
        <v>2</v>
      </c>
    </row>
    <row r="20" spans="2:13" ht="15.75" customHeight="1">
      <c r="B20" s="18"/>
      <c r="C20" s="4" t="s">
        <v>4</v>
      </c>
      <c r="D20" s="14">
        <v>3</v>
      </c>
      <c r="E20" s="14">
        <v>2</v>
      </c>
      <c r="F20" s="14">
        <v>3</v>
      </c>
      <c r="G20" s="14">
        <v>2</v>
      </c>
      <c r="H20" s="14">
        <v>3</v>
      </c>
      <c r="I20" s="6">
        <f t="shared" si="4"/>
        <v>2.6</v>
      </c>
      <c r="M20" s="15"/>
    </row>
    <row r="21" spans="2:13" ht="15.75" customHeight="1">
      <c r="B21" s="18"/>
      <c r="C21" s="4" t="s">
        <v>5</v>
      </c>
      <c r="D21" s="14">
        <v>1</v>
      </c>
      <c r="E21" s="14">
        <v>1</v>
      </c>
      <c r="F21" s="14">
        <v>1</v>
      </c>
      <c r="G21" s="14">
        <v>1</v>
      </c>
      <c r="H21" s="14">
        <v>1</v>
      </c>
      <c r="I21" s="6">
        <f t="shared" si="4"/>
        <v>1</v>
      </c>
    </row>
    <row r="22" spans="2:13" ht="15.75" customHeight="1">
      <c r="B22" s="18"/>
      <c r="C22" s="4" t="s">
        <v>6</v>
      </c>
      <c r="D22" s="14">
        <v>2</v>
      </c>
      <c r="E22" s="14">
        <v>2</v>
      </c>
      <c r="F22" s="14">
        <v>2</v>
      </c>
      <c r="G22" s="14">
        <v>2</v>
      </c>
      <c r="H22" s="14">
        <v>2</v>
      </c>
      <c r="I22" s="6">
        <f t="shared" si="4"/>
        <v>2</v>
      </c>
    </row>
    <row r="23" spans="2:13" ht="15.75" customHeight="1">
      <c r="B23" s="18"/>
      <c r="C23" s="4" t="s">
        <v>7</v>
      </c>
      <c r="D23" s="14">
        <v>3</v>
      </c>
      <c r="E23" s="14">
        <v>2</v>
      </c>
      <c r="F23" s="14">
        <v>2</v>
      </c>
      <c r="G23" s="14">
        <v>2</v>
      </c>
      <c r="H23" s="14">
        <v>2</v>
      </c>
      <c r="I23" s="6">
        <f t="shared" si="4"/>
        <v>2.2000000000000002</v>
      </c>
    </row>
    <row r="24" spans="2:13" ht="15.75" customHeight="1">
      <c r="B24" s="18"/>
      <c r="C24" s="4" t="s">
        <v>8</v>
      </c>
      <c r="D24" s="14">
        <v>1</v>
      </c>
      <c r="E24" s="14">
        <v>2</v>
      </c>
      <c r="F24" s="14">
        <v>2</v>
      </c>
      <c r="G24" s="14">
        <v>2</v>
      </c>
      <c r="H24" s="14">
        <v>2</v>
      </c>
      <c r="I24" s="6">
        <f t="shared" si="4"/>
        <v>1.8</v>
      </c>
    </row>
    <row r="25" spans="2:13" ht="15.75" customHeight="1">
      <c r="B25" s="18"/>
      <c r="C25" s="12" t="s">
        <v>9</v>
      </c>
      <c r="D25" s="13">
        <f t="shared" ref="D25:H25" si="5">SUM(D19:D24)</f>
        <v>12</v>
      </c>
      <c r="E25" s="13">
        <f t="shared" si="5"/>
        <v>11</v>
      </c>
      <c r="F25" s="13">
        <f t="shared" si="5"/>
        <v>12</v>
      </c>
      <c r="G25" s="13">
        <f t="shared" si="5"/>
        <v>11</v>
      </c>
      <c r="H25" s="13">
        <f t="shared" si="5"/>
        <v>12</v>
      </c>
      <c r="I25" s="6">
        <f t="shared" si="4"/>
        <v>11.6</v>
      </c>
    </row>
    <row r="26" spans="2:13" ht="15.75" customHeight="1">
      <c r="B26" s="10"/>
      <c r="C26" s="10"/>
      <c r="D26" s="10"/>
      <c r="E26" s="10"/>
      <c r="F26" s="10"/>
      <c r="G26" s="10"/>
      <c r="H26" s="10"/>
      <c r="I26" s="10"/>
    </row>
    <row r="27" spans="2:13" ht="15">
      <c r="B27" s="17" t="s">
        <v>12</v>
      </c>
      <c r="C27" s="4" t="s">
        <v>3</v>
      </c>
      <c r="D27" s="16">
        <v>5</v>
      </c>
      <c r="E27" s="14">
        <v>4</v>
      </c>
      <c r="F27" s="14">
        <v>4</v>
      </c>
      <c r="G27" s="14">
        <v>6</v>
      </c>
      <c r="H27" s="14">
        <v>2</v>
      </c>
      <c r="I27" s="6">
        <f t="shared" ref="I27:I33" si="6">AVERAGE(D27:H27)</f>
        <v>4.2</v>
      </c>
    </row>
    <row r="28" spans="2:13" ht="15">
      <c r="B28" s="18"/>
      <c r="C28" s="4" t="s">
        <v>4</v>
      </c>
      <c r="D28" s="16">
        <v>8</v>
      </c>
      <c r="E28" s="14">
        <v>4</v>
      </c>
      <c r="F28" s="14">
        <v>6</v>
      </c>
      <c r="G28" s="14">
        <v>8</v>
      </c>
      <c r="H28" s="14">
        <v>2</v>
      </c>
      <c r="I28" s="6">
        <f t="shared" si="6"/>
        <v>5.6</v>
      </c>
    </row>
    <row r="29" spans="2:13" ht="15">
      <c r="B29" s="18"/>
      <c r="C29" s="4" t="s">
        <v>5</v>
      </c>
      <c r="D29" s="16">
        <v>1</v>
      </c>
      <c r="E29" s="14">
        <v>2</v>
      </c>
      <c r="F29" s="14">
        <v>2</v>
      </c>
      <c r="G29" s="14">
        <v>1</v>
      </c>
      <c r="H29" s="14">
        <v>1</v>
      </c>
      <c r="I29" s="6">
        <f t="shared" si="6"/>
        <v>1.4</v>
      </c>
    </row>
    <row r="30" spans="2:13" ht="15">
      <c r="B30" s="18"/>
      <c r="C30" s="4" t="s">
        <v>6</v>
      </c>
      <c r="D30" s="16">
        <v>2</v>
      </c>
      <c r="E30" s="14">
        <v>3</v>
      </c>
      <c r="F30" s="14">
        <v>2</v>
      </c>
      <c r="G30" s="14">
        <v>3</v>
      </c>
      <c r="H30" s="14">
        <v>1</v>
      </c>
      <c r="I30" s="6">
        <f t="shared" si="6"/>
        <v>2.2000000000000002</v>
      </c>
    </row>
    <row r="31" spans="2:13" ht="15">
      <c r="B31" s="18"/>
      <c r="C31" s="4" t="s">
        <v>7</v>
      </c>
      <c r="D31" s="16">
        <v>5</v>
      </c>
      <c r="E31" s="14">
        <v>4</v>
      </c>
      <c r="F31" s="14">
        <v>4</v>
      </c>
      <c r="G31" s="14">
        <v>6</v>
      </c>
      <c r="H31" s="14">
        <v>2</v>
      </c>
      <c r="I31" s="6">
        <f t="shared" si="6"/>
        <v>4.2</v>
      </c>
    </row>
    <row r="32" spans="2:13" ht="15">
      <c r="B32" s="18"/>
      <c r="C32" s="4" t="s">
        <v>8</v>
      </c>
      <c r="D32" s="16">
        <v>3</v>
      </c>
      <c r="E32" s="14">
        <v>3</v>
      </c>
      <c r="F32" s="14">
        <v>2</v>
      </c>
      <c r="G32" s="14">
        <v>2</v>
      </c>
      <c r="H32" s="14">
        <v>1</v>
      </c>
      <c r="I32" s="6">
        <f t="shared" si="6"/>
        <v>2.2000000000000002</v>
      </c>
    </row>
    <row r="33" spans="2:9" ht="15.75" customHeight="1">
      <c r="B33" s="18"/>
      <c r="C33" s="12" t="s">
        <v>9</v>
      </c>
      <c r="D33" s="13">
        <f t="shared" ref="D33:H33" si="7">SUM(D27:D32)</f>
        <v>24</v>
      </c>
      <c r="E33" s="13">
        <f t="shared" si="7"/>
        <v>20</v>
      </c>
      <c r="F33" s="13">
        <f t="shared" si="7"/>
        <v>20</v>
      </c>
      <c r="G33" s="13">
        <f t="shared" si="7"/>
        <v>26</v>
      </c>
      <c r="H33" s="13">
        <f t="shared" si="7"/>
        <v>9</v>
      </c>
      <c r="I33" s="6">
        <f t="shared" si="6"/>
        <v>19.8</v>
      </c>
    </row>
    <row r="34" spans="2:9" ht="15.75" customHeight="1">
      <c r="B34" s="10"/>
      <c r="C34" s="10"/>
      <c r="D34" s="10"/>
      <c r="E34" s="10"/>
      <c r="F34" s="10"/>
      <c r="G34" s="10"/>
      <c r="H34" s="10"/>
      <c r="I34" s="10"/>
    </row>
    <row r="35" spans="2:9" ht="15.75" customHeight="1">
      <c r="B35" s="17" t="s">
        <v>13</v>
      </c>
      <c r="C35" s="4" t="s">
        <v>3</v>
      </c>
      <c r="D35" s="14">
        <v>13</v>
      </c>
      <c r="E35" s="14">
        <v>7</v>
      </c>
      <c r="F35" s="14">
        <v>8</v>
      </c>
      <c r="G35" s="14">
        <v>7</v>
      </c>
      <c r="H35" s="14">
        <v>7</v>
      </c>
      <c r="I35" s="6">
        <f t="shared" ref="I35:I41" si="8">AVERAGE(D35:H35)</f>
        <v>8.4</v>
      </c>
    </row>
    <row r="36" spans="2:9" ht="15.75" customHeight="1">
      <c r="B36" s="18"/>
      <c r="C36" s="4" t="s">
        <v>4</v>
      </c>
      <c r="D36" s="14">
        <v>15</v>
      </c>
      <c r="E36" s="14">
        <v>11</v>
      </c>
      <c r="F36" s="14">
        <v>12</v>
      </c>
      <c r="G36" s="14">
        <v>10</v>
      </c>
      <c r="H36" s="14">
        <v>10</v>
      </c>
      <c r="I36" s="6">
        <f t="shared" si="8"/>
        <v>11.6</v>
      </c>
    </row>
    <row r="37" spans="2:9" ht="15.75" customHeight="1">
      <c r="B37" s="18"/>
      <c r="C37" s="4" t="s">
        <v>5</v>
      </c>
      <c r="D37" s="14">
        <v>2</v>
      </c>
      <c r="E37" s="14">
        <v>2</v>
      </c>
      <c r="F37" s="14">
        <v>2</v>
      </c>
      <c r="G37" s="14">
        <v>3</v>
      </c>
      <c r="H37" s="14">
        <v>3</v>
      </c>
      <c r="I37" s="6">
        <f t="shared" si="8"/>
        <v>2.4</v>
      </c>
    </row>
    <row r="38" spans="2:9" ht="15.75" customHeight="1">
      <c r="B38" s="18"/>
      <c r="C38" s="4" t="s">
        <v>6</v>
      </c>
      <c r="D38" s="14">
        <v>3</v>
      </c>
      <c r="E38" s="14">
        <v>4</v>
      </c>
      <c r="F38" s="14">
        <v>4</v>
      </c>
      <c r="G38" s="14">
        <v>5</v>
      </c>
      <c r="H38" s="14">
        <v>5</v>
      </c>
      <c r="I38" s="6">
        <f t="shared" si="8"/>
        <v>4.2</v>
      </c>
    </row>
    <row r="39" spans="2:9" ht="15.75" customHeight="1">
      <c r="B39" s="18"/>
      <c r="C39" s="4" t="s">
        <v>7</v>
      </c>
      <c r="D39" s="14">
        <v>15</v>
      </c>
      <c r="E39" s="14">
        <v>10</v>
      </c>
      <c r="F39" s="14">
        <v>11</v>
      </c>
      <c r="G39" s="14">
        <v>8</v>
      </c>
      <c r="H39" s="14">
        <v>10</v>
      </c>
      <c r="I39" s="6">
        <f t="shared" si="8"/>
        <v>10.8</v>
      </c>
    </row>
    <row r="40" spans="2:9" ht="15.75" customHeight="1">
      <c r="B40" s="18"/>
      <c r="C40" s="4" t="s">
        <v>8</v>
      </c>
      <c r="D40" s="14">
        <v>5</v>
      </c>
      <c r="E40" s="14">
        <v>4</v>
      </c>
      <c r="F40" s="14">
        <v>3</v>
      </c>
      <c r="G40" s="14">
        <v>3</v>
      </c>
      <c r="H40" s="14">
        <v>5</v>
      </c>
      <c r="I40" s="6">
        <f t="shared" si="8"/>
        <v>4</v>
      </c>
    </row>
    <row r="41" spans="2:9" ht="15.75" customHeight="1">
      <c r="B41" s="18"/>
      <c r="C41" s="12" t="s">
        <v>9</v>
      </c>
      <c r="D41" s="13">
        <f t="shared" ref="D41:H41" si="9">SUM(D35:D40)</f>
        <v>53</v>
      </c>
      <c r="E41" s="13">
        <f t="shared" si="9"/>
        <v>38</v>
      </c>
      <c r="F41" s="13">
        <f t="shared" si="9"/>
        <v>40</v>
      </c>
      <c r="G41" s="13">
        <f t="shared" si="9"/>
        <v>36</v>
      </c>
      <c r="H41" s="13">
        <f t="shared" si="9"/>
        <v>40</v>
      </c>
      <c r="I41" s="6">
        <f t="shared" si="8"/>
        <v>41.4</v>
      </c>
    </row>
    <row r="42" spans="2:9" ht="15.75" customHeight="1">
      <c r="B42" s="10"/>
      <c r="C42" s="10"/>
      <c r="D42" s="10"/>
      <c r="E42" s="10"/>
      <c r="F42" s="10"/>
      <c r="G42" s="10"/>
      <c r="H42" s="10"/>
      <c r="I42" s="10"/>
    </row>
    <row r="43" spans="2:9" ht="15.75" customHeight="1">
      <c r="B43" s="17" t="s">
        <v>14</v>
      </c>
      <c r="C43" s="4" t="s">
        <v>3</v>
      </c>
      <c r="D43" s="11">
        <v>12</v>
      </c>
      <c r="E43" s="14">
        <v>10</v>
      </c>
      <c r="F43" s="14">
        <v>10</v>
      </c>
      <c r="G43" s="14">
        <v>13</v>
      </c>
      <c r="H43" s="14">
        <v>10</v>
      </c>
      <c r="I43" s="6">
        <f t="shared" ref="I43:I49" si="10">AVERAGE(D43:H43)</f>
        <v>11</v>
      </c>
    </row>
    <row r="44" spans="2:9" ht="15.75" customHeight="1">
      <c r="B44" s="18"/>
      <c r="C44" s="4" t="s">
        <v>4</v>
      </c>
      <c r="D44" s="11">
        <v>12</v>
      </c>
      <c r="E44" s="14">
        <v>13</v>
      </c>
      <c r="F44" s="14">
        <v>10</v>
      </c>
      <c r="G44" s="14">
        <v>13</v>
      </c>
      <c r="H44" s="14">
        <v>10</v>
      </c>
      <c r="I44" s="6">
        <f t="shared" si="10"/>
        <v>11.6</v>
      </c>
    </row>
    <row r="45" spans="2:9" ht="15.75" customHeight="1">
      <c r="B45" s="18"/>
      <c r="C45" s="4" t="s">
        <v>5</v>
      </c>
      <c r="D45" s="11">
        <v>10</v>
      </c>
      <c r="E45" s="14">
        <v>4</v>
      </c>
      <c r="F45" s="14">
        <v>4</v>
      </c>
      <c r="G45" s="14">
        <v>4</v>
      </c>
      <c r="H45" s="14">
        <v>10</v>
      </c>
      <c r="I45" s="6">
        <f t="shared" si="10"/>
        <v>6.4</v>
      </c>
    </row>
    <row r="46" spans="2:9" ht="15.75" customHeight="1">
      <c r="B46" s="18"/>
      <c r="C46" s="4" t="s">
        <v>6</v>
      </c>
      <c r="D46" s="11">
        <v>11</v>
      </c>
      <c r="E46" s="14">
        <v>4</v>
      </c>
      <c r="F46" s="14">
        <v>6</v>
      </c>
      <c r="G46" s="14">
        <v>8</v>
      </c>
      <c r="H46" s="14">
        <v>10</v>
      </c>
      <c r="I46" s="6">
        <f t="shared" si="10"/>
        <v>7.8</v>
      </c>
    </row>
    <row r="47" spans="2:9" ht="15.75" customHeight="1">
      <c r="B47" s="18"/>
      <c r="C47" s="4" t="s">
        <v>7</v>
      </c>
      <c r="D47" s="11">
        <v>11</v>
      </c>
      <c r="E47" s="14">
        <v>13</v>
      </c>
      <c r="F47" s="14">
        <v>10</v>
      </c>
      <c r="G47" s="14">
        <v>13</v>
      </c>
      <c r="H47" s="14">
        <v>10</v>
      </c>
      <c r="I47" s="6">
        <f t="shared" si="10"/>
        <v>11.4</v>
      </c>
    </row>
    <row r="48" spans="2:9" ht="15.75" customHeight="1">
      <c r="B48" s="18"/>
      <c r="C48" s="4" t="s">
        <v>8</v>
      </c>
      <c r="D48" s="11">
        <v>11</v>
      </c>
      <c r="E48" s="14">
        <v>4</v>
      </c>
      <c r="F48" s="14">
        <v>10</v>
      </c>
      <c r="G48" s="14">
        <v>9</v>
      </c>
      <c r="H48" s="14">
        <v>10</v>
      </c>
      <c r="I48" s="6">
        <f t="shared" si="10"/>
        <v>8.8000000000000007</v>
      </c>
    </row>
    <row r="49" spans="2:9" ht="15.75" customHeight="1">
      <c r="B49" s="18"/>
      <c r="C49" s="12" t="s">
        <v>9</v>
      </c>
      <c r="D49" s="13">
        <f t="shared" ref="D49:H49" si="11">SUM(D43:D48)</f>
        <v>67</v>
      </c>
      <c r="E49" s="13">
        <f t="shared" si="11"/>
        <v>48</v>
      </c>
      <c r="F49" s="13">
        <f t="shared" si="11"/>
        <v>50</v>
      </c>
      <c r="G49" s="13">
        <f t="shared" si="11"/>
        <v>60</v>
      </c>
      <c r="H49" s="13">
        <f t="shared" si="11"/>
        <v>60</v>
      </c>
      <c r="I49" s="6">
        <f t="shared" si="10"/>
        <v>57</v>
      </c>
    </row>
  </sheetData>
  <mergeCells count="6">
    <mergeCell ref="B43:B49"/>
    <mergeCell ref="B3:B9"/>
    <mergeCell ref="B11:B17"/>
    <mergeCell ref="B19:B25"/>
    <mergeCell ref="B27:B33"/>
    <mergeCell ref="B35:B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048E2-3292-0446-BF9C-27A24C168FD2}">
  <dimension ref="A1"/>
  <sheetViews>
    <sheetView workbookViewId="0"/>
  </sheetViews>
  <sheetFormatPr baseColWidth="10" defaultRowHeight="1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FF4F3-3BF5-5949-9A63-A4B71080DD85}">
  <dimension ref="A1"/>
  <sheetViews>
    <sheetView tabSelected="1" workbookViewId="0"/>
  </sheetViews>
  <sheetFormatPr baseColWidth="10" defaultRowHeight="1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AI_based_Results</vt:lpstr>
      <vt:lpstr>Medini_Results</vt:lpstr>
      <vt:lpstr>Medini_vs_AI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TERESA ELIA</cp:lastModifiedBy>
  <dcterms:created xsi:type="dcterms:W3CDTF">2026-09-29T08:05:53Z</dcterms:created>
  <dcterms:modified xsi:type="dcterms:W3CDTF">2026-09-29T08:05:53Z</dcterms:modified>
</cp:coreProperties>
</file>