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A Threat Table" sheetId="1" r:id="rId4"/>
    <sheet state="visible" name="STRIDE Category Summary" sheetId="2" r:id="rId5"/>
  </sheets>
  <definedNames>
    <definedName hidden="1" localSheetId="0" name="_xlnm._FilterDatabase">'TARA Threat Table'!$A$7:$E$33</definedName>
  </definedNames>
  <calcPr/>
  <extLst>
    <ext uri="GoogleSheetsCustomDataVersion2">
      <go:sheetsCustomData xmlns:go="http://customooxmlschemas.google.com/" r:id="rId6" roundtripDataChecksum="oBB6wGSJMOzWaALea/V7baOAt/KZftx+hwGo7qcwF+w="/>
    </ext>
  </extLst>
</workbook>
</file>

<file path=xl/sharedStrings.xml><?xml version="1.0" encoding="utf-8"?>
<sst xmlns="http://schemas.openxmlformats.org/spreadsheetml/2006/main" count="155" uniqueCount="105">
  <si>
    <t>Threat Analysis and Risk Assessment (TARA) - AI-Based ACC System</t>
  </si>
  <si>
    <t>STRIDE Category Distribution - Medini Analyze Baseline</t>
  </si>
  <si>
    <t>Use this table to compare category counts with the AI Engine TARA output</t>
  </si>
  <si>
    <t>Baseline Threat Identification Model (ISO/SAE 21434 &amp; STRIDE Alignment - Medini Analyze Benchmark)</t>
  </si>
  <si>
    <t>TOTAL THREATS</t>
  </si>
  <si>
    <t>STRIDE Category</t>
  </si>
  <si>
    <t>TO BE ASSESSED (TRUE)</t>
  </si>
  <si>
    <t>OUT OF SCOPE (FALSE)</t>
  </si>
  <si>
    <t>COVERAGE RATIO</t>
  </si>
  <si>
    <t>Total Identified</t>
  </si>
  <si>
    <t>To Be Assessed (True)</t>
  </si>
  <si>
    <t>Out of Scope (False)</t>
  </si>
  <si>
    <t>% of Total Threats</t>
  </si>
  <si>
    <t>Spoofing</t>
  </si>
  <si>
    <t>ID</t>
  </si>
  <si>
    <t>Name</t>
  </si>
  <si>
    <t>Assets</t>
  </si>
  <si>
    <t>To Be Assessed(True/False)</t>
  </si>
  <si>
    <t>Category</t>
  </si>
  <si>
    <t>THR_009</t>
  </si>
  <si>
    <t>RF / Laser Blinding &amp; Jamming of Perception Sensors</t>
  </si>
  <si>
    <t>Radar &amp; LIDAR Availability</t>
  </si>
  <si>
    <t>TRUE</t>
  </si>
  <si>
    <t>Denial of Service</t>
  </si>
  <si>
    <t>THR_010</t>
  </si>
  <si>
    <t>Frame Flooding / Buffer Exhaustion in Perception Processing</t>
  </si>
  <si>
    <t>Perception Module Component</t>
  </si>
  <si>
    <t>Tampering</t>
  </si>
  <si>
    <t>THR_016</t>
  </si>
  <si>
    <t>Algorithmic Latency Injection / AI Processing Delay</t>
  </si>
  <si>
    <t>AI Controller Module (AI Out Signal)</t>
  </si>
  <si>
    <t>THR_022</t>
  </si>
  <si>
    <t>Bus Flooding / DoS on Actuation Module Control Interface</t>
  </si>
  <si>
    <t>Actuation Module (AM Out Signal)</t>
  </si>
  <si>
    <t>THR_023</t>
  </si>
  <si>
    <t>DoS Attack Disabling Physical Brake or AEB Triggering</t>
  </si>
  <si>
    <t>AEB &amp; Brake Availability</t>
  </si>
  <si>
    <t>THR_026</t>
  </si>
  <si>
    <t>Disruption / Interruption of Vehicle Dynamics Feedback Loop</t>
  </si>
  <si>
    <t>Vehicle Dynamics Observation Stream</t>
  </si>
  <si>
    <t>THR_017</t>
  </si>
  <si>
    <t>Privilege Escalation / Jailbreak on AI Controller OS</t>
  </si>
  <si>
    <t>AI Controller Module Software Unit</t>
  </si>
  <si>
    <t>Elevation of Privilege</t>
  </si>
  <si>
    <t>THR_024</t>
  </si>
  <si>
    <t>Diagnostic Session Hijacking / ECU Re-flashing on Actuators</t>
  </si>
  <si>
    <t>Actuation Module ECU Privileges</t>
  </si>
  <si>
    <t>THR_007</t>
  </si>
  <si>
    <t>Unauthorized Eavesdropping / Sniffing on Raw Camera Stream</t>
  </si>
  <si>
    <t>Camera Sensor Stream</t>
  </si>
  <si>
    <t>FALSE</t>
  </si>
  <si>
    <t>Information Disclosure</t>
  </si>
  <si>
    <t>THR_008</t>
  </si>
  <si>
    <t>Unauthorized Extraction of V2X Telemetry Logs</t>
  </si>
  <si>
    <t>OBU Communication Stream</t>
  </si>
  <si>
    <t>THR_015</t>
  </si>
  <si>
    <t>AI Model Architecture Inversion / Intellectual Property Theft</t>
  </si>
  <si>
    <t>AI Controller Neural Network Weights</t>
  </si>
  <si>
    <t>THR_014</t>
  </si>
  <si>
    <t>Suppression or Erasure of AI Controller Audit/Decision Logs</t>
  </si>
  <si>
    <t>AI Controller Decision Logs</t>
  </si>
  <si>
    <t>Repudiation</t>
  </si>
  <si>
    <t>THR_001</t>
  </si>
  <si>
    <t>Optical Laser Spoofing of LIDAR Point Cloud Data</t>
  </si>
  <si>
    <t>LIDAR Sensor (L Out Signal)</t>
  </si>
  <si>
    <t>THR_002</t>
  </si>
  <si>
    <t>RF Radar Signal Spoofing / Phantom Target Injection</t>
  </si>
  <si>
    <t>Radar Sensor (R Out Signal)</t>
  </si>
  <si>
    <t>THR_003</t>
  </si>
  <si>
    <t>Camera Image Spoofing via Adversarial Physical Patches</t>
  </si>
  <si>
    <t>Camera Sensor (C Out Signal)</t>
  </si>
  <si>
    <t>THR_004</t>
  </si>
  <si>
    <t>V2X / GPS Message Spoofing via Wireless Interface</t>
  </si>
  <si>
    <t>OBU Hardware Part (OBU Out Signal)</t>
  </si>
  <si>
    <t>THR_011</t>
  </si>
  <si>
    <t>Adversarial Input Perturbation (Fooling AI Decision Logic)</t>
  </si>
  <si>
    <t>AI Controller Module Logic</t>
  </si>
  <si>
    <t>THR_018</t>
  </si>
  <si>
    <t>Spoofing / Impersonation of AI Control Commands</t>
  </si>
  <si>
    <t>Actuation Module Input (AM In Signal)</t>
  </si>
  <si>
    <t>THR_005</t>
  </si>
  <si>
    <t>Perception Data Stream Tampering in Processing Pipeline</t>
  </si>
  <si>
    <t>Perception Module (PM Out Signal)</t>
  </si>
  <si>
    <t>THR_006</t>
  </si>
  <si>
    <t>Physical or Firmware Tampering of OBU Hardware</t>
  </si>
  <si>
    <t>OBU Hardware Part</t>
  </si>
  <si>
    <t>THR_012</t>
  </si>
  <si>
    <t>Runtime Memory Tampering of AI Model Weights/Parameters</t>
  </si>
  <si>
    <t>AI Controller Module Model Weights</t>
  </si>
  <si>
    <t>THR_013</t>
  </si>
  <si>
    <t>Data Poisoning in Acquisition &amp; Preprocessing Pipeline</t>
  </si>
  <si>
    <t>Data Acquisition &amp; Preprocessing Sub-Module</t>
  </si>
  <si>
    <t>THR_019</t>
  </si>
  <si>
    <t>Malicious Manipulation of Acceleration Commands</t>
  </si>
  <si>
    <t>Throttle Actuator (T In Signal)</t>
  </si>
  <si>
    <t>THR_020</t>
  </si>
  <si>
    <t>Unauthorized Alteration of Deceleration/Brake Signal</t>
  </si>
  <si>
    <t>Brake Actuator (B In Signal)</t>
  </si>
  <si>
    <t>THR_021</t>
  </si>
  <si>
    <t>Malicious Override / Manipulation of AEB Emergency Parameters</t>
  </si>
  <si>
    <t>AEB Hardware Part (AEB In Signal)</t>
  </si>
  <si>
    <t>THR_025</t>
  </si>
  <si>
    <t>Tampering with Vehicle Dynamics Feedback Signal (Speed/Yaw)</t>
  </si>
  <si>
    <t>Continuous Vehicle Dynamics Feedback Data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</si>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</sst>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5.0"/>
      <color rgb="FF1F4E79"/>
      <name val="Calibri"/>
    </font>
    <font>
      <i/>
      <sz val="11.0"/>
      <color rgb="FF595959"/>
      <name val="Calibri"/>
    </font>
    <font>
      <b/>
      <sz val="9.0"/>
      <color rgb="FF1F4E7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4.0"/>
      <color rgb="FF2F5496"/>
      <name val="Calibri"/>
    </font>
    <font>
      <sz val="11.0"/>
      <color theme="1"/>
      <name val="Calibri"/>
    </font>
    <font>
      <b/>
      <sz val="11.0"/>
      <color rgb="FF375623"/>
      <name val="Calibri"/>
    </font>
    <font>
      <b/>
      <sz val="11.0"/>
      <color rgb="FF59595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2" fillId="3" fontId="6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/>
    </xf>
    <xf borderId="2" fillId="3" fontId="6" numFmtId="164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left" vertical="center"/>
    </xf>
    <xf borderId="2" fillId="4" fontId="8" numFmtId="0" xfId="0" applyAlignment="1" applyBorder="1" applyFill="1" applyFont="1">
      <alignment horizontal="center" vertical="center"/>
    </xf>
    <xf borderId="2" fillId="0" fontId="7" numFmtId="164" xfId="0" applyAlignment="1" applyBorder="1" applyFont="1" applyNumberFormat="1">
      <alignment horizontal="center"/>
    </xf>
    <xf borderId="2" fillId="4" fontId="7" numFmtId="0" xfId="0" applyAlignment="1" applyBorder="1" applyFill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4" fontId="9" numFmtId="0" xfId="0" applyAlignment="1" applyBorder="1" applyFill="1" applyFont="1">
      <alignment horizontal="center" vertical="center"/>
    </xf>
    <xf borderId="2" fillId="5" fontId="5" numFmtId="0" xfId="0" applyBorder="1" applyFill="1" applyFont="1"/>
    <xf borderId="2" fillId="5" fontId="5" numFmtId="0" xfId="0" applyAlignment="1" applyBorder="1" applyFill="1" applyFont="1">
      <alignment horizontal="center"/>
    </xf>
    <xf borderId="2" fillId="5" fontId="5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2" width="10.57"/>
    <col customWidth="1" min="3" max="3" width="7.71"/>
    <col customWidth="1" min="4" max="4" width="28.0"/>
    <col customWidth="1" min="5" max="5" width="24.0"/>
    <col customWidth="1" min="6" max="26" width="8.71"/>
  </cols>
  <sheetData>
    <row r="1">
      <c r="A1" s="1" t="s">
        <v>0</v>
      </c>
    </row>
    <row r="2">
      <c r="A2" s="2" t="s">
        <v>3</v>
      </c>
    </row>
    <row r="3">
      <c r="A3" s="3" t="s">
        <v>4</v>
      </c>
      <c r="B3" s="3" t="s">
        <v>6</v>
      </c>
      <c r="C3" s="3" t="s">
        <v>7</v>
      </c>
      <c r="D3" s="3" t="s">
        <v>8</v>
      </c>
    </row>
    <row r="4">
      <c r="A4" s="7">
        <f>COUNTA(A8:A33)</f>
        <v>26</v>
      </c>
      <c r="B4" s="7">
        <f>COUNTIF(D8:D33, "TRUE")</f>
        <v>0</v>
      </c>
      <c r="C4" s="7">
        <f>COUNTIF(D8:D33, "FALSE")</f>
        <v>0</v>
      </c>
      <c r="D4" s="9">
        <f>COUNTIF(D8:D33, "TRUE")/COUNTA(A8:A33)</f>
        <v>0</v>
      </c>
    </row>
    <row r="7">
      <c r="A7" s="10" t="s">
        <v>14</v>
      </c>
      <c r="B7" s="11" t="s">
        <v>15</v>
      </c>
      <c r="C7" s="11" t="s">
        <v>16</v>
      </c>
      <c r="D7" s="10" t="s">
        <v>17</v>
      </c>
      <c r="E7" s="10" t="s">
        <v>18</v>
      </c>
    </row>
    <row r="8">
      <c r="A8" s="12" t="s">
        <v>19</v>
      </c>
      <c r="B8" s="13" t="s">
        <v>20</v>
      </c>
      <c r="C8" s="13" t="s">
        <v>21</v>
      </c>
      <c r="D8" s="14" t="s">
        <v>22</v>
      </c>
      <c r="E8" s="15" t="s">
        <v>23</v>
      </c>
    </row>
    <row r="9">
      <c r="A9" s="16" t="s">
        <v>24</v>
      </c>
      <c r="B9" s="17" t="s">
        <v>25</v>
      </c>
      <c r="C9" s="17" t="s">
        <v>26</v>
      </c>
      <c r="D9" s="18" t="s">
        <v>22</v>
      </c>
      <c r="E9" s="20" t="s">
        <v>23</v>
      </c>
    </row>
    <row r="10">
      <c r="A10" s="16" t="s">
        <v>28</v>
      </c>
      <c r="B10" s="17" t="s">
        <v>29</v>
      </c>
      <c r="C10" s="17" t="s">
        <v>30</v>
      </c>
      <c r="D10" s="18" t="s">
        <v>22</v>
      </c>
      <c r="E10" s="20" t="s">
        <v>23</v>
      </c>
    </row>
    <row r="11">
      <c r="A11" s="16" t="s">
        <v>31</v>
      </c>
      <c r="B11" s="17" t="s">
        <v>32</v>
      </c>
      <c r="C11" s="17" t="s">
        <v>33</v>
      </c>
      <c r="D11" s="18" t="s">
        <v>22</v>
      </c>
      <c r="E11" s="20" t="s">
        <v>23</v>
      </c>
    </row>
    <row r="12">
      <c r="A12" s="12" t="s">
        <v>34</v>
      </c>
      <c r="B12" s="13" t="s">
        <v>35</v>
      </c>
      <c r="C12" s="13" t="s">
        <v>36</v>
      </c>
      <c r="D12" s="14" t="s">
        <v>22</v>
      </c>
      <c r="E12" s="15" t="s">
        <v>23</v>
      </c>
    </row>
    <row r="13">
      <c r="A13" s="16" t="s">
        <v>37</v>
      </c>
      <c r="B13" s="17" t="s">
        <v>38</v>
      </c>
      <c r="C13" s="17" t="s">
        <v>39</v>
      </c>
      <c r="D13" s="18" t="s">
        <v>22</v>
      </c>
      <c r="E13" s="20" t="s">
        <v>23</v>
      </c>
    </row>
    <row r="14">
      <c r="A14" s="12" t="s">
        <v>40</v>
      </c>
      <c r="B14" s="13" t="s">
        <v>41</v>
      </c>
      <c r="C14" s="13" t="s">
        <v>42</v>
      </c>
      <c r="D14" s="14" t="s">
        <v>22</v>
      </c>
      <c r="E14" s="15" t="s">
        <v>43</v>
      </c>
    </row>
    <row r="15">
      <c r="A15" s="16" t="s">
        <v>44</v>
      </c>
      <c r="B15" s="17" t="s">
        <v>45</v>
      </c>
      <c r="C15" s="17" t="s">
        <v>46</v>
      </c>
      <c r="D15" s="18" t="s">
        <v>22</v>
      </c>
      <c r="E15" s="20" t="s">
        <v>43</v>
      </c>
    </row>
    <row r="16">
      <c r="A16" s="12" t="s">
        <v>47</v>
      </c>
      <c r="B16" s="13" t="s">
        <v>48</v>
      </c>
      <c r="C16" s="13" t="s">
        <v>49</v>
      </c>
      <c r="D16" s="21" t="s">
        <v>50</v>
      </c>
      <c r="E16" s="15" t="s">
        <v>51</v>
      </c>
    </row>
    <row r="17">
      <c r="A17" s="16" t="s">
        <v>52</v>
      </c>
      <c r="B17" s="17" t="s">
        <v>53</v>
      </c>
      <c r="C17" s="17" t="s">
        <v>54</v>
      </c>
      <c r="D17" s="22" t="s">
        <v>50</v>
      </c>
      <c r="E17" s="20" t="s">
        <v>51</v>
      </c>
    </row>
    <row r="18">
      <c r="A18" s="12" t="s">
        <v>55</v>
      </c>
      <c r="B18" s="13" t="s">
        <v>56</v>
      </c>
      <c r="C18" s="13" t="s">
        <v>57</v>
      </c>
      <c r="D18" s="21" t="s">
        <v>50</v>
      </c>
      <c r="E18" s="15" t="s">
        <v>51</v>
      </c>
    </row>
    <row r="19">
      <c r="A19" s="16" t="s">
        <v>58</v>
      </c>
      <c r="B19" s="17" t="s">
        <v>59</v>
      </c>
      <c r="C19" s="17" t="s">
        <v>60</v>
      </c>
      <c r="D19" s="22" t="s">
        <v>50</v>
      </c>
      <c r="E19" s="20" t="s">
        <v>61</v>
      </c>
    </row>
    <row r="20">
      <c r="A20" s="12" t="s">
        <v>62</v>
      </c>
      <c r="B20" s="13" t="s">
        <v>63</v>
      </c>
      <c r="C20" s="13" t="s">
        <v>64</v>
      </c>
      <c r="D20" s="14" t="s">
        <v>22</v>
      </c>
      <c r="E20" s="15" t="s">
        <v>13</v>
      </c>
    </row>
    <row r="21" ht="15.75" customHeight="1">
      <c r="A21" s="16" t="s">
        <v>65</v>
      </c>
      <c r="B21" s="17" t="s">
        <v>66</v>
      </c>
      <c r="C21" s="17" t="s">
        <v>67</v>
      </c>
      <c r="D21" s="18" t="s">
        <v>22</v>
      </c>
      <c r="E21" s="20" t="s">
        <v>13</v>
      </c>
    </row>
    <row r="22" ht="15.75" customHeight="1">
      <c r="A22" s="12" t="s">
        <v>68</v>
      </c>
      <c r="B22" s="13" t="s">
        <v>69</v>
      </c>
      <c r="C22" s="13" t="s">
        <v>70</v>
      </c>
      <c r="D22" s="14" t="s">
        <v>22</v>
      </c>
      <c r="E22" s="15" t="s">
        <v>13</v>
      </c>
    </row>
    <row r="23" ht="15.75" customHeight="1">
      <c r="A23" s="16" t="s">
        <v>71</v>
      </c>
      <c r="B23" s="17" t="s">
        <v>72</v>
      </c>
      <c r="C23" s="17" t="s">
        <v>73</v>
      </c>
      <c r="D23" s="18" t="s">
        <v>22</v>
      </c>
      <c r="E23" s="20" t="s">
        <v>13</v>
      </c>
    </row>
    <row r="24" ht="15.75" customHeight="1">
      <c r="A24" s="12" t="s">
        <v>74</v>
      </c>
      <c r="B24" s="13" t="s">
        <v>75</v>
      </c>
      <c r="C24" s="13" t="s">
        <v>76</v>
      </c>
      <c r="D24" s="14" t="s">
        <v>22</v>
      </c>
      <c r="E24" s="15" t="s">
        <v>13</v>
      </c>
    </row>
    <row r="25" ht="15.75" customHeight="1">
      <c r="A25" s="16" t="s">
        <v>77</v>
      </c>
      <c r="B25" s="17" t="s">
        <v>78</v>
      </c>
      <c r="C25" s="17" t="s">
        <v>79</v>
      </c>
      <c r="D25" s="18" t="s">
        <v>22</v>
      </c>
      <c r="E25" s="20" t="s">
        <v>13</v>
      </c>
    </row>
    <row r="26" ht="15.75" customHeight="1">
      <c r="A26" s="12" t="s">
        <v>80</v>
      </c>
      <c r="B26" s="13" t="s">
        <v>81</v>
      </c>
      <c r="C26" s="13" t="s">
        <v>82</v>
      </c>
      <c r="D26" s="14" t="s">
        <v>22</v>
      </c>
      <c r="E26" s="15" t="s">
        <v>27</v>
      </c>
    </row>
    <row r="27" ht="15.75" customHeight="1">
      <c r="A27" s="16" t="s">
        <v>83</v>
      </c>
      <c r="B27" s="17" t="s">
        <v>84</v>
      </c>
      <c r="C27" s="17" t="s">
        <v>85</v>
      </c>
      <c r="D27" s="18" t="s">
        <v>22</v>
      </c>
      <c r="E27" s="20" t="s">
        <v>27</v>
      </c>
    </row>
    <row r="28" ht="15.75" customHeight="1">
      <c r="A28" s="16" t="s">
        <v>86</v>
      </c>
      <c r="B28" s="17" t="s">
        <v>87</v>
      </c>
      <c r="C28" s="17" t="s">
        <v>88</v>
      </c>
      <c r="D28" s="18" t="s">
        <v>22</v>
      </c>
      <c r="E28" s="20" t="s">
        <v>27</v>
      </c>
    </row>
    <row r="29" ht="15.75" customHeight="1">
      <c r="A29" s="12" t="s">
        <v>89</v>
      </c>
      <c r="B29" s="13" t="s">
        <v>90</v>
      </c>
      <c r="C29" s="13" t="s">
        <v>91</v>
      </c>
      <c r="D29" s="14" t="s">
        <v>22</v>
      </c>
      <c r="E29" s="15" t="s">
        <v>27</v>
      </c>
    </row>
    <row r="30" ht="15.75" customHeight="1">
      <c r="A30" s="12" t="s">
        <v>92</v>
      </c>
      <c r="B30" s="13" t="s">
        <v>93</v>
      </c>
      <c r="C30" s="13" t="s">
        <v>94</v>
      </c>
      <c r="D30" s="14" t="s">
        <v>22</v>
      </c>
      <c r="E30" s="15" t="s">
        <v>27</v>
      </c>
    </row>
    <row r="31" ht="15.75" customHeight="1">
      <c r="A31" s="16" t="s">
        <v>95</v>
      </c>
      <c r="B31" s="17" t="s">
        <v>96</v>
      </c>
      <c r="C31" s="17" t="s">
        <v>97</v>
      </c>
      <c r="D31" s="18" t="s">
        <v>22</v>
      </c>
      <c r="E31" s="20" t="s">
        <v>27</v>
      </c>
    </row>
    <row r="32" ht="15.75" customHeight="1">
      <c r="A32" s="12" t="s">
        <v>98</v>
      </c>
      <c r="B32" s="13" t="s">
        <v>99</v>
      </c>
      <c r="C32" s="13" t="s">
        <v>100</v>
      </c>
      <c r="D32" s="14" t="s">
        <v>22</v>
      </c>
      <c r="E32" s="15" t="s">
        <v>27</v>
      </c>
    </row>
    <row r="33" ht="15.75" customHeight="1">
      <c r="A33" s="12" t="s">
        <v>101</v>
      </c>
      <c r="B33" s="13" t="s">
        <v>102</v>
      </c>
      <c r="C33" s="13" t="s">
        <v>103</v>
      </c>
      <c r="D33" s="14" t="s">
        <v>22</v>
      </c>
      <c r="E33" s="15" t="s">
        <v>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E$33">
    <sortState ref="A7:E33">
      <sortCondition ref="E7:E33"/>
    </sortState>
  </autoFilter>
  <dataValidations>
    <dataValidation type="list" allowBlank="1" sqref="D8:D33">
      <formula1>"TRUE,FALSE"</formula1>
    </dataValidation>
    <dataValidation type="list" allowBlank="1" sqref="E8:E33">
      <formula1>"Spoofing,Tampering,Repudiation,Information Disclosure,Denial of Service,Elevation of Privilege"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24.0"/>
    <col customWidth="1" min="4" max="4" width="22.0"/>
    <col customWidth="1" min="5" max="5" width="20.0"/>
    <col customWidth="1" min="6" max="26" width="8.71"/>
  </cols>
  <sheetData>
    <row r="1">
      <c r="A1" s="1" t="s">
        <v>1</v>
      </c>
    </row>
    <row r="2">
      <c r="A2" s="2" t="s">
        <v>2</v>
      </c>
    </row>
    <row r="5">
      <c r="A5" s="4" t="s">
        <v>5</v>
      </c>
      <c r="B5" s="5" t="s">
        <v>9</v>
      </c>
      <c r="C5" s="5" t="s">
        <v>10</v>
      </c>
      <c r="D5" s="5" t="s">
        <v>11</v>
      </c>
      <c r="E5" s="5" t="s">
        <v>12</v>
      </c>
    </row>
    <row r="6">
      <c r="A6" s="6" t="s">
        <v>13</v>
      </c>
      <c r="B6" s="8">
        <f>COUNTIF('TARA Threat Table'!E$8:E$33, "Spoofing")</f>
        <v>6</v>
      </c>
      <c r="C6" s="8">
        <f>COUNTIFS('TARA Threat Table'!E$8:E$33, "Spoofing", 'TARA Threat Table'!D$8:D$33, "TRUE")</f>
        <v>0</v>
      </c>
      <c r="D6" s="8">
        <f>COUNTIFS('TARA Threat Table'!E$8:E$33, "Spoofing", 'TARA Threat Table'!D$8:D$33, "FALSE")</f>
        <v>0</v>
      </c>
      <c r="E6" s="19">
        <f t="shared" ref="E6:E11" si="1">B6/SUM(B$6:B$11)</f>
        <v>0.2307692308</v>
      </c>
    </row>
    <row r="7">
      <c r="A7" s="6" t="s">
        <v>27</v>
      </c>
      <c r="B7" s="8">
        <f>COUNTIF('TARA Threat Table'!E$8:E$33, "Tampering")</f>
        <v>8</v>
      </c>
      <c r="C7" s="8">
        <f>COUNTIFS('TARA Threat Table'!E$8:E$33, "Tampering", 'TARA Threat Table'!D$8:D$33, "TRUE")</f>
        <v>0</v>
      </c>
      <c r="D7" s="8">
        <f>COUNTIFS('TARA Threat Table'!E$8:E$33, "Tampering", 'TARA Threat Table'!D$8:D$33, "FALSE")</f>
        <v>0</v>
      </c>
      <c r="E7" s="19">
        <f t="shared" si="1"/>
        <v>0.3076923077</v>
      </c>
    </row>
    <row r="8">
      <c r="A8" s="6" t="s">
        <v>61</v>
      </c>
      <c r="B8" s="8">
        <f>COUNTIF('TARA Threat Table'!E$8:E$33, "Repudiation")</f>
        <v>1</v>
      </c>
      <c r="C8" s="8">
        <f>COUNTIFS('TARA Threat Table'!E$8:E$33, "Repudiation", 'TARA Threat Table'!D$8:D$33, "TRUE")</f>
        <v>0</v>
      </c>
      <c r="D8" s="8">
        <f>COUNTIFS('TARA Threat Table'!E$8:E$33, "Repudiation", 'TARA Threat Table'!D$8:D$33, "FALSE")</f>
        <v>0</v>
      </c>
      <c r="E8" s="19">
        <f t="shared" si="1"/>
        <v>0.03846153846</v>
      </c>
    </row>
    <row r="9">
      <c r="A9" s="6" t="s">
        <v>51</v>
      </c>
      <c r="B9" s="8">
        <f>COUNTIF('TARA Threat Table'!E$8:E$33, "Information Disclosure")</f>
        <v>3</v>
      </c>
      <c r="C9" s="8">
        <f>COUNTIFS('TARA Threat Table'!E$8:E$33, "Information Disclosure", 'TARA Threat Table'!D$8:D$33, "TRUE")</f>
        <v>0</v>
      </c>
      <c r="D9" s="8">
        <f>COUNTIFS('TARA Threat Table'!E$8:E$33, "Information Disclosure", 'TARA Threat Table'!D$8:D$33, "FALSE")</f>
        <v>0</v>
      </c>
      <c r="E9" s="19">
        <f t="shared" si="1"/>
        <v>0.1153846154</v>
      </c>
    </row>
    <row r="10">
      <c r="A10" s="6" t="s">
        <v>23</v>
      </c>
      <c r="B10" s="8">
        <f>COUNTIF('TARA Threat Table'!E$8:E$33, "Denial of Service")</f>
        <v>6</v>
      </c>
      <c r="C10" s="8">
        <f>COUNTIFS('TARA Threat Table'!E$8:E$33, "Denial of Service", 'TARA Threat Table'!D$8:D$33, "TRUE")</f>
        <v>0</v>
      </c>
      <c r="D10" s="8">
        <f>COUNTIFS('TARA Threat Table'!E$8:E$33, "Denial of Service", 'TARA Threat Table'!D$8:D$33, "FALSE")</f>
        <v>0</v>
      </c>
      <c r="E10" s="19">
        <f t="shared" si="1"/>
        <v>0.2307692308</v>
      </c>
    </row>
    <row r="11">
      <c r="A11" s="6" t="s">
        <v>43</v>
      </c>
      <c r="B11" s="8">
        <f>COUNTIF('TARA Threat Table'!E$8:E$33, "Elevation of Privilege")</f>
        <v>2</v>
      </c>
      <c r="C11" s="8">
        <f>COUNTIFS('TARA Threat Table'!E$8:E$33, "Elevation of Privilege", 'TARA Threat Table'!D$8:D$33, "TRUE")</f>
        <v>0</v>
      </c>
      <c r="D11" s="8">
        <f>COUNTIFS('TARA Threat Table'!E$8:E$33, "Elevation of Privilege", 'TARA Threat Table'!D$8:D$33, "FALSE")</f>
        <v>0</v>
      </c>
      <c r="E11" s="19">
        <f t="shared" si="1"/>
        <v>0.07692307692</v>
      </c>
    </row>
    <row r="12">
      <c r="A12" s="23" t="s">
        <v>104</v>
      </c>
      <c r="B12" s="24">
        <f t="shared" ref="B12:E12" si="2">SUM(B6:B11)</f>
        <v>26</v>
      </c>
      <c r="C12" s="24">
        <f t="shared" si="2"/>
        <v>0</v>
      </c>
      <c r="D12" s="24">
        <f t="shared" si="2"/>
        <v>0</v>
      </c>
      <c r="E12" s="25">
        <f t="shared" si="2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2026-09-28T09:35:11Z</dcterms:created>
  <dc:creator>openpyxl</dc:creator>
</cp:coreProperties>
</file>