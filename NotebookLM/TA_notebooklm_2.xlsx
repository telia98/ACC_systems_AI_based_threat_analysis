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A Matrix" sheetId="1" r:id="rId4"/>
  </sheets>
  <definedNames>
    <definedName hidden="1" localSheetId="0" name="_xlnm._FilterDatabase">'TARA Matrix'!$A$9:$E$29</definedName>
  </definedNames>
  <calcPr/>
  <extLst>
    <ext uri="GoogleSheetsCustomDataVersion2">
      <go:sheetsCustomData xmlns:go="http://customooxmlschemas.google.com/" r:id="rId5" roundtripDataChecksum="ZUiZprWoYt+WXaFGyU7GrIV/mZjvhkTM84gBEwY8QMY="/>
    </ext>
  </extLst>
</workbook>
</file>

<file path=xl/sharedStrings.xml><?xml version="1.0" encoding="utf-8"?>
<sst xmlns="http://schemas.openxmlformats.org/spreadsheetml/2006/main" count="120" uniqueCount="79">
  <si>
    <t>Autonomous Vehicle AI ACC System - Threat Analysis &amp; Risk Assessment (TARA)</t>
  </si>
  <si>
    <t>Architectural Reference: general_architecture.jpeg &amp; medini_architecture.png | Taxonomy: STRIDE (ISO/SAE 21434)</t>
  </si>
  <si>
    <t>TOTAL THREATS</t>
  </si>
  <si>
    <t>TO BE ASSESSED (TRUE)</t>
  </si>
  <si>
    <t>EXCLUDED (FALSE)</t>
  </si>
  <si>
    <t>ID</t>
  </si>
  <si>
    <t>Name</t>
  </si>
  <si>
    <t>Assets</t>
  </si>
  <si>
    <t>To Be Assessed(True/False)</t>
  </si>
  <si>
    <t>Category</t>
  </si>
  <si>
    <t>THR-001</t>
  </si>
  <si>
    <t>Spoofing Radar/LIDAR Range and Velocity Signals</t>
  </si>
  <si>
    <t>Sensors (Radar, LIDAR), Perception Module (PM In)</t>
  </si>
  <si>
    <t>TRUE</t>
  </si>
  <si>
    <t>Spoofing</t>
  </si>
  <si>
    <t>THR-002</t>
  </si>
  <si>
    <t>Camera Optical Input Spoofing / Adversarial Object Attacks</t>
  </si>
  <si>
    <t>Sensor (Camera), Perception Module (PM In)</t>
  </si>
  <si>
    <t>THR-003</t>
  </si>
  <si>
    <t>Spoofing External V2X Messages via OBU Interface</t>
  </si>
  <si>
    <t>Hardware Part (OBU), Interface (OBU Out)</t>
  </si>
  <si>
    <t>THR-004</t>
  </si>
  <si>
    <t>Spoofing Perception Output Payload sent to AI Controller</t>
  </si>
  <si>
    <t>Interface (PM Out -&gt; AI In), Software Unit (AI Controller Module)</t>
  </si>
  <si>
    <t>THR-005</t>
  </si>
  <si>
    <t>Tampering with AI Model Weights / Inference Logic</t>
  </si>
  <si>
    <t>Software Unit (AI Controller Module)</t>
  </si>
  <si>
    <t>Tampering</t>
  </si>
  <si>
    <t>THR-006</t>
  </si>
  <si>
    <t>Tampering with Data Preprocessing &amp; Sensor Fusion Calibration</t>
  </si>
  <si>
    <t>Component (Perception Module)</t>
  </si>
  <si>
    <t>THR-007</t>
  </si>
  <si>
    <t>Tampering with Speed and Acceleration Control Commands</t>
  </si>
  <si>
    <t>Interface (AI Out -&gt; AM In), Component (Actuation Module)</t>
  </si>
  <si>
    <t>THR-008</t>
  </si>
  <si>
    <t>Tampering with AEB Trigger Thresholds or Actuator Signal Calibration</t>
  </si>
  <si>
    <t>Hardware Part (AEB), Actuators (Brake, Throttle)</t>
  </si>
  <si>
    <t>THR-009</t>
  </si>
  <si>
    <t>Unauthorized Deletion/Alteration of Safety Audit Logs &amp; Driver Overrides</t>
  </si>
  <si>
    <t>Software Unit (AI Controller Module), Vehicle Dynamics Monitor</t>
  </si>
  <si>
    <t>Repudiation</t>
  </si>
  <si>
    <t>THR-010</t>
  </si>
  <si>
    <t>Repudiation of Emergency V2X Event Messages Transmitted via OBU</t>
  </si>
  <si>
    <t>Hardware Part (OBU)</t>
  </si>
  <si>
    <t>FALSE</t>
  </si>
  <si>
    <t>THR-011</t>
  </si>
  <si>
    <t>Unencrypted Interception of Raw Sensor Bus Data</t>
  </si>
  <si>
    <t>Sensor Interfaces (C Out, R Out, L Out)</t>
  </si>
  <si>
    <t>Information Disclosure</t>
  </si>
  <si>
    <t>THR-012</t>
  </si>
  <si>
    <t>Exfiltration of Proprietary AI Model Architecture &amp; Weights</t>
  </si>
  <si>
    <t>THR-013</t>
  </si>
  <si>
    <t>Interception of OBU Telemetry &amp; Location Traces</t>
  </si>
  <si>
    <t>Hardware Part (OBU), Telemetry Data</t>
  </si>
  <si>
    <t>THR-014</t>
  </si>
  <si>
    <t>RF Jamming or Laser Blinding of Environmental Sensors</t>
  </si>
  <si>
    <t>Sensors (Camera, Radar, LIDAR)</t>
  </si>
  <si>
    <t>Denial of Service (DoS)</t>
  </si>
  <si>
    <t>THR-015</t>
  </si>
  <si>
    <t>Resource Exhaustion / Buffer Flooding on AI Processing Unit</t>
  </si>
  <si>
    <t>Software Unit (AI Controller Module), Port (AI In)</t>
  </si>
  <si>
    <t>THR-016</t>
  </si>
  <si>
    <t>Bus Flooding / CAN-Ethernet DoS on Actuation Interface</t>
  </si>
  <si>
    <t>Component (Actuation Module), Port (AM In)</t>
  </si>
  <si>
    <t>THR-017</t>
  </si>
  <si>
    <t>Malicious Disabling / Signal Blocking of AEB Trigger</t>
  </si>
  <si>
    <t>Hardware Part (AEB), Port (AEB In)</t>
  </si>
  <si>
    <t>THR-018</t>
  </si>
  <si>
    <t>Privilege Escalation / Root Compromise on AI Controller</t>
  </si>
  <si>
    <t>Elevation of Privilege</t>
  </si>
  <si>
    <t>THR-019</t>
  </si>
  <si>
    <t>Diagnostic Overrides &amp; Arbitrary Command Execution on Actuators</t>
  </si>
  <si>
    <t>Component (Actuation Module), Actuators (Brake, Throttle)</t>
  </si>
  <si>
    <t>THR-020</t>
  </si>
  <si>
    <t>Exploitation of OBU Wireless Stack to Execute Commands on Perception Bus</t>
  </si>
  <si>
    <t>Hardware Part (OBU), Component (Perception Module)</t>
  </si>
  <si>
    <t>STRIDE Category Summary</t>
  </si>
  <si>
    <t>Count</t>
  </si>
  <si>
    <t>%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</si>
</sst>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b/>
      <sz val="9.0"/>
      <color rgb="FF595959"/>
      <name val="Calibri"/>
    </font>
    <font/>
    <font>
      <b/>
      <sz val="18.0"/>
      <color rgb="FF1F497D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5F9"/>
        <bgColor rgb="FFF2F5F9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</fills>
  <borders count="6">
    <border/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1" fillId="2" fontId="5" numFmtId="0" xfId="0" applyAlignment="1" applyBorder="1" applyFill="1" applyFont="1">
      <alignment horizontal="center" vertical="center"/>
    </xf>
    <xf borderId="3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shrinkToFit="0" vertical="center" wrapText="1"/>
    </xf>
    <xf borderId="4" fillId="4" fontId="7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0" fillId="0" fontId="7" numFmtId="0" xfId="0" applyFont="1"/>
    <xf borderId="5" fillId="7" fontId="6" numFmtId="0" xfId="0" applyAlignment="1" applyBorder="1" applyFill="1" applyFont="1">
      <alignment horizontal="center" vertical="center"/>
    </xf>
    <xf borderId="4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0"/>
    <col customWidth="1" min="2" max="2" width="0.43"/>
    <col customWidth="1" min="3" max="3" width="12.43"/>
    <col customWidth="1" min="4" max="4" width="25.0"/>
    <col customWidth="1" min="5" max="5" width="26.0"/>
    <col customWidth="1" min="6" max="7" width="12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B4" s="3" t="s">
        <v>2</v>
      </c>
      <c r="C4" s="4"/>
      <c r="D4" s="3" t="s">
        <v>3</v>
      </c>
      <c r="E4" s="4"/>
      <c r="F4" s="3" t="s">
        <v>4</v>
      </c>
      <c r="G4" s="4"/>
    </row>
    <row r="5">
      <c r="B5" s="5">
        <f>COUNTA(A10:A29)</f>
        <v>20</v>
      </c>
      <c r="C5" s="4"/>
      <c r="D5" s="5">
        <f>COUNTIF(D10:D29, "TRUE")</f>
        <v>0</v>
      </c>
      <c r="E5" s="4"/>
      <c r="F5" s="5">
        <f>COUNTIF(D10:D29, "FALSE")</f>
        <v>0</v>
      </c>
      <c r="G5" s="4"/>
    </row>
    <row r="9" ht="27.75" customHeight="1">
      <c r="A9" s="6" t="s">
        <v>5</v>
      </c>
      <c r="B9" s="7" t="s">
        <v>6</v>
      </c>
      <c r="C9" s="7" t="s">
        <v>7</v>
      </c>
      <c r="D9" s="6" t="s">
        <v>8</v>
      </c>
      <c r="E9" s="6" t="s">
        <v>9</v>
      </c>
    </row>
    <row r="10" ht="24.0" customHeight="1">
      <c r="A10" s="8" t="s">
        <v>10</v>
      </c>
      <c r="B10" s="9" t="s">
        <v>11</v>
      </c>
      <c r="C10" s="9" t="s">
        <v>12</v>
      </c>
      <c r="D10" s="10" t="s">
        <v>13</v>
      </c>
      <c r="E10" s="11" t="s">
        <v>14</v>
      </c>
    </row>
    <row r="11" ht="24.0" customHeight="1">
      <c r="A11" s="12" t="s">
        <v>15</v>
      </c>
      <c r="B11" s="13" t="s">
        <v>16</v>
      </c>
      <c r="C11" s="13" t="s">
        <v>17</v>
      </c>
      <c r="D11" s="10" t="s">
        <v>13</v>
      </c>
      <c r="E11" s="14" t="s">
        <v>14</v>
      </c>
    </row>
    <row r="12" ht="24.0" customHeight="1">
      <c r="A12" s="8" t="s">
        <v>18</v>
      </c>
      <c r="B12" s="9" t="s">
        <v>19</v>
      </c>
      <c r="C12" s="9" t="s">
        <v>20</v>
      </c>
      <c r="D12" s="10" t="s">
        <v>13</v>
      </c>
      <c r="E12" s="11" t="s">
        <v>14</v>
      </c>
    </row>
    <row r="13" ht="24.0" customHeight="1">
      <c r="A13" s="12" t="s">
        <v>21</v>
      </c>
      <c r="B13" s="13" t="s">
        <v>22</v>
      </c>
      <c r="C13" s="13" t="s">
        <v>23</v>
      </c>
      <c r="D13" s="10" t="s">
        <v>13</v>
      </c>
      <c r="E13" s="14" t="s">
        <v>14</v>
      </c>
    </row>
    <row r="14" ht="24.0" customHeight="1">
      <c r="A14" s="8" t="s">
        <v>24</v>
      </c>
      <c r="B14" s="9" t="s">
        <v>25</v>
      </c>
      <c r="C14" s="9" t="s">
        <v>26</v>
      </c>
      <c r="D14" s="10" t="s">
        <v>13</v>
      </c>
      <c r="E14" s="11" t="s">
        <v>27</v>
      </c>
    </row>
    <row r="15" ht="24.0" customHeight="1">
      <c r="A15" s="12" t="s">
        <v>28</v>
      </c>
      <c r="B15" s="13" t="s">
        <v>29</v>
      </c>
      <c r="C15" s="13" t="s">
        <v>30</v>
      </c>
      <c r="D15" s="10" t="s">
        <v>13</v>
      </c>
      <c r="E15" s="14" t="s">
        <v>27</v>
      </c>
    </row>
    <row r="16" ht="24.0" customHeight="1">
      <c r="A16" s="8" t="s">
        <v>31</v>
      </c>
      <c r="B16" s="9" t="s">
        <v>32</v>
      </c>
      <c r="C16" s="9" t="s">
        <v>33</v>
      </c>
      <c r="D16" s="10" t="s">
        <v>13</v>
      </c>
      <c r="E16" s="11" t="s">
        <v>27</v>
      </c>
    </row>
    <row r="17" ht="24.0" customHeight="1">
      <c r="A17" s="12" t="s">
        <v>34</v>
      </c>
      <c r="B17" s="13" t="s">
        <v>35</v>
      </c>
      <c r="C17" s="13" t="s">
        <v>36</v>
      </c>
      <c r="D17" s="10" t="s">
        <v>13</v>
      </c>
      <c r="E17" s="14" t="s">
        <v>27</v>
      </c>
    </row>
    <row r="18" ht="24.0" customHeight="1">
      <c r="A18" s="8" t="s">
        <v>37</v>
      </c>
      <c r="B18" s="9" t="s">
        <v>38</v>
      </c>
      <c r="C18" s="9" t="s">
        <v>39</v>
      </c>
      <c r="D18" s="10" t="s">
        <v>13</v>
      </c>
      <c r="E18" s="11" t="s">
        <v>40</v>
      </c>
    </row>
    <row r="19" ht="24.0" customHeight="1">
      <c r="A19" s="12" t="s">
        <v>41</v>
      </c>
      <c r="B19" s="13" t="s">
        <v>42</v>
      </c>
      <c r="C19" s="13" t="s">
        <v>43</v>
      </c>
      <c r="D19" s="15" t="s">
        <v>44</v>
      </c>
      <c r="E19" s="14" t="s">
        <v>40</v>
      </c>
    </row>
    <row r="20" ht="24.0" customHeight="1">
      <c r="A20" s="8" t="s">
        <v>45</v>
      </c>
      <c r="B20" s="9" t="s">
        <v>46</v>
      </c>
      <c r="C20" s="9" t="s">
        <v>47</v>
      </c>
      <c r="D20" s="15" t="s">
        <v>44</v>
      </c>
      <c r="E20" s="11" t="s">
        <v>48</v>
      </c>
    </row>
    <row r="21" ht="24.0" customHeight="1">
      <c r="A21" s="12" t="s">
        <v>49</v>
      </c>
      <c r="B21" s="13" t="s">
        <v>50</v>
      </c>
      <c r="C21" s="13" t="s">
        <v>26</v>
      </c>
      <c r="D21" s="10" t="s">
        <v>13</v>
      </c>
      <c r="E21" s="14" t="s">
        <v>48</v>
      </c>
    </row>
    <row r="22" ht="24.0" customHeight="1">
      <c r="A22" s="8" t="s">
        <v>51</v>
      </c>
      <c r="B22" s="9" t="s">
        <v>52</v>
      </c>
      <c r="C22" s="9" t="s">
        <v>53</v>
      </c>
      <c r="D22" s="10" t="s">
        <v>13</v>
      </c>
      <c r="E22" s="11" t="s">
        <v>48</v>
      </c>
    </row>
    <row r="23" ht="24.0" customHeight="1">
      <c r="A23" s="12" t="s">
        <v>54</v>
      </c>
      <c r="B23" s="13" t="s">
        <v>55</v>
      </c>
      <c r="C23" s="13" t="s">
        <v>56</v>
      </c>
      <c r="D23" s="10" t="s">
        <v>13</v>
      </c>
      <c r="E23" s="14" t="s">
        <v>57</v>
      </c>
    </row>
    <row r="24" ht="24.0" customHeight="1">
      <c r="A24" s="8" t="s">
        <v>58</v>
      </c>
      <c r="B24" s="9" t="s">
        <v>59</v>
      </c>
      <c r="C24" s="9" t="s">
        <v>60</v>
      </c>
      <c r="D24" s="10" t="s">
        <v>13</v>
      </c>
      <c r="E24" s="11" t="s">
        <v>57</v>
      </c>
    </row>
    <row r="25" ht="24.0" customHeight="1">
      <c r="A25" s="12" t="s">
        <v>61</v>
      </c>
      <c r="B25" s="13" t="s">
        <v>62</v>
      </c>
      <c r="C25" s="13" t="s">
        <v>63</v>
      </c>
      <c r="D25" s="10" t="s">
        <v>13</v>
      </c>
      <c r="E25" s="14" t="s">
        <v>57</v>
      </c>
    </row>
    <row r="26" ht="24.0" customHeight="1">
      <c r="A26" s="8" t="s">
        <v>64</v>
      </c>
      <c r="B26" s="9" t="s">
        <v>65</v>
      </c>
      <c r="C26" s="9" t="s">
        <v>66</v>
      </c>
      <c r="D26" s="10" t="s">
        <v>13</v>
      </c>
      <c r="E26" s="11" t="s">
        <v>57</v>
      </c>
    </row>
    <row r="27" ht="24.0" customHeight="1">
      <c r="A27" s="12" t="s">
        <v>67</v>
      </c>
      <c r="B27" s="13" t="s">
        <v>68</v>
      </c>
      <c r="C27" s="13" t="s">
        <v>26</v>
      </c>
      <c r="D27" s="10" t="s">
        <v>13</v>
      </c>
      <c r="E27" s="14" t="s">
        <v>69</v>
      </c>
    </row>
    <row r="28" ht="24.0" customHeight="1">
      <c r="A28" s="8" t="s">
        <v>70</v>
      </c>
      <c r="B28" s="9" t="s">
        <v>71</v>
      </c>
      <c r="C28" s="9" t="s">
        <v>72</v>
      </c>
      <c r="D28" s="10" t="s">
        <v>13</v>
      </c>
      <c r="E28" s="11" t="s">
        <v>69</v>
      </c>
    </row>
    <row r="29" ht="24.0" customHeight="1">
      <c r="A29" s="12" t="s">
        <v>73</v>
      </c>
      <c r="B29" s="13" t="s">
        <v>74</v>
      </c>
      <c r="C29" s="13" t="s">
        <v>75</v>
      </c>
      <c r="D29" s="10" t="s">
        <v>13</v>
      </c>
      <c r="E29" s="14" t="s">
        <v>69</v>
      </c>
    </row>
    <row r="30" ht="15.75" customHeight="1"/>
    <row r="31" ht="15.75" customHeight="1"/>
    <row r="32" ht="15.75" customHeight="1">
      <c r="A32" s="16" t="s">
        <v>76</v>
      </c>
    </row>
    <row r="33" ht="15.75" customHeight="1">
      <c r="A33" s="17" t="s">
        <v>9</v>
      </c>
      <c r="B33" s="17" t="s">
        <v>77</v>
      </c>
      <c r="C33" s="17" t="s">
        <v>78</v>
      </c>
    </row>
    <row r="34" ht="15.75" customHeight="1">
      <c r="A34" s="9" t="s">
        <v>14</v>
      </c>
      <c r="B34" s="11">
        <f>COUNTIF(E10:E29, "Spoofing")</f>
        <v>4</v>
      </c>
      <c r="C34" s="18">
        <f t="shared" ref="C34:C39" si="1">B34/B$5</f>
        <v>0.2</v>
      </c>
    </row>
    <row r="35" ht="15.75" customHeight="1">
      <c r="A35" s="9" t="s">
        <v>27</v>
      </c>
      <c r="B35" s="11">
        <f>COUNTIF(E10:E29, "Tampering")</f>
        <v>4</v>
      </c>
      <c r="C35" s="18">
        <f t="shared" si="1"/>
        <v>0.2</v>
      </c>
    </row>
    <row r="36" ht="15.75" customHeight="1">
      <c r="A36" s="9" t="s">
        <v>40</v>
      </c>
      <c r="B36" s="11">
        <f>COUNTIF(E10:E29, "Repudiation")</f>
        <v>2</v>
      </c>
      <c r="C36" s="18">
        <f t="shared" si="1"/>
        <v>0.1</v>
      </c>
    </row>
    <row r="37" ht="15.75" customHeight="1">
      <c r="A37" s="9" t="s">
        <v>48</v>
      </c>
      <c r="B37" s="11">
        <f>COUNTIF(E10:E29, "Information Disclosure")</f>
        <v>3</v>
      </c>
      <c r="C37" s="18">
        <f t="shared" si="1"/>
        <v>0.15</v>
      </c>
    </row>
    <row r="38" ht="15.75" customHeight="1">
      <c r="A38" s="9" t="s">
        <v>57</v>
      </c>
      <c r="B38" s="11">
        <f>COUNTIF(E10:E29, "Denial of Service (DoS)")</f>
        <v>4</v>
      </c>
      <c r="C38" s="18">
        <f t="shared" si="1"/>
        <v>0.2</v>
      </c>
    </row>
    <row r="39" ht="15.75" customHeight="1">
      <c r="A39" s="9" t="s">
        <v>69</v>
      </c>
      <c r="B39" s="11">
        <f>COUNTIF(E10:E29, "Elevation of Privilege")</f>
        <v>3</v>
      </c>
      <c r="C39" s="18">
        <f t="shared" si="1"/>
        <v>0.15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E$29"/>
  <mergeCells count="6">
    <mergeCell ref="B4:C4"/>
    <mergeCell ref="D4:E4"/>
    <mergeCell ref="F4:G4"/>
    <mergeCell ref="B5:C5"/>
    <mergeCell ref="D5:E5"/>
    <mergeCell ref="F5:G5"/>
  </mergeCells>
  <dataValidations>
    <dataValidation type="list" allowBlank="1" sqref="D10:D29">
      <formula1>"TRUE,FALSE"</formula1>
    </dataValidation>
    <dataValidation type="list" allowBlank="1" sqref="E10:E29">
      <formula1>"Spoofing,Tampering,Repudiation,Information Disclosure,Denial of Service (DoS),Elevation of Privilege"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2026-09-28T09:26:05Z</dcterms:created>
  <dc:creator>openpyxl</dc:creator>
</cp:coreProperties>
</file>