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ARA Table" sheetId="2" state="visible" r:id="rId2"/>
  </sheets>
  <definedNames>
    <definedName name="_xlnm._FilterDatabase" localSheetId="1" hidden="1">'TARA Table'!$B$5:$F$29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9FBFD"/>
        <bgColor rgb="00F9FBF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D9D9D9"/>
      </top>
      <bottom style="double">
        <color rgb="002F5496"/>
      </bottom>
    </border>
    <border>
      <bottom style="medium">
        <color rgb="002F549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4" fillId="0" borderId="5" pivotButton="0" quotePrefix="0" xfId="0"/>
    <xf numFmtId="0" fontId="4" fillId="0" borderId="5" applyAlignment="1" pivotButton="0" quotePrefix="0" xfId="0">
      <alignment horizontal="center" vertical="center"/>
    </xf>
    <xf numFmtId="164" fontId="4" fillId="0" borderId="5" applyAlignment="1" pivotButton="0" quotePrefix="0" xfId="0">
      <alignment horizontal="right" vertical="center"/>
    </xf>
    <xf numFmtId="0" fontId="5" fillId="2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</cols>
  <sheetData>
    <row r="2">
      <c r="B2" s="1" t="inlineStr">
        <is>
          <t>AI-Based Adaptive Cruise Control (ACC) - TARA Executive Summary</t>
        </is>
      </c>
    </row>
    <row r="3">
      <c r="B3" s="2" t="inlineStr">
        <is>
          <t>Threat Analysis &amp; Risk Assessment Baseline (Medini Analyze Compatible Format)</t>
        </is>
      </c>
    </row>
    <row r="5">
      <c r="B5" s="3" t="inlineStr">
        <is>
          <t>ASSESSMENT METRICS SUMMARY</t>
        </is>
      </c>
      <c r="C5" s="4" t="n"/>
      <c r="D5" s="4" t="n"/>
    </row>
    <row r="6">
      <c r="B6" s="5" t="inlineStr">
        <is>
          <t>Total Identified Threats</t>
        </is>
      </c>
      <c r="C6" s="6" t="n"/>
      <c r="D6" s="7">
        <f>COUNTA('TARA Table'!B6:B29)</f>
        <v/>
      </c>
    </row>
    <row r="7">
      <c r="B7" s="5" t="inlineStr">
        <is>
          <t>Threats Selected for Assessment (True)</t>
        </is>
      </c>
      <c r="C7" s="6" t="n"/>
      <c r="D7" s="8">
        <f>COUNTIF('TARA Table'!E6:E29, TRUE)</f>
        <v/>
      </c>
    </row>
    <row r="8">
      <c r="B8" s="5" t="inlineStr">
        <is>
          <t>Threats Out of Scope / Excluded (False)</t>
        </is>
      </c>
      <c r="C8" s="6" t="n"/>
      <c r="D8" s="9">
        <f>COUNTIF('TARA Table'!E6:E29, FALSE)</f>
        <v/>
      </c>
    </row>
    <row r="10">
      <c r="B10" s="3" t="inlineStr">
        <is>
          <t>STRIDE THREAT CATEGORY BREAKDOWN</t>
        </is>
      </c>
      <c r="C10" s="4" t="n"/>
      <c r="D10" s="4" t="n"/>
    </row>
    <row r="11">
      <c r="B11" s="10" t="inlineStr">
        <is>
          <t>STRIDE Category</t>
        </is>
      </c>
      <c r="C11" s="10" t="inlineStr">
        <is>
          <t>Threat Count</t>
        </is>
      </c>
      <c r="D11" s="10" t="inlineStr">
        <is>
          <t>% of Total</t>
        </is>
      </c>
    </row>
    <row r="12">
      <c r="B12" s="11" t="inlineStr">
        <is>
          <t>Spoofing</t>
        </is>
      </c>
      <c r="C12" s="12">
        <f>COUNTIF('TARA Table'!F6:F29, "*Spoofing*")</f>
        <v/>
      </c>
      <c r="D12" s="13">
        <f>C12/$D$6</f>
        <v/>
      </c>
    </row>
    <row r="13">
      <c r="B13" s="11" t="inlineStr">
        <is>
          <t>Tampering</t>
        </is>
      </c>
      <c r="C13" s="12">
        <f>COUNTIF('TARA Table'!F6:F29, "*Tampering*")</f>
        <v/>
      </c>
      <c r="D13" s="13">
        <f>C13/$D$6</f>
        <v/>
      </c>
    </row>
    <row r="14">
      <c r="B14" s="11" t="inlineStr">
        <is>
          <t>Repudiation</t>
        </is>
      </c>
      <c r="C14" s="12">
        <f>COUNTIF('TARA Table'!F6:F29, "*Repudiation*")</f>
        <v/>
      </c>
      <c r="D14" s="13">
        <f>C14/$D$6</f>
        <v/>
      </c>
    </row>
    <row r="15">
      <c r="B15" s="11" t="inlineStr">
        <is>
          <t>Information Disclosure</t>
        </is>
      </c>
      <c r="C15" s="12">
        <f>COUNTIF('TARA Table'!F6:F29, "*Information Disclosure*")</f>
        <v/>
      </c>
      <c r="D15" s="13">
        <f>C15/$D$6</f>
        <v/>
      </c>
    </row>
    <row r="16">
      <c r="B16" s="11" t="inlineStr">
        <is>
          <t>Denial of Service (DoS)</t>
        </is>
      </c>
      <c r="C16" s="12">
        <f>COUNTIF('TARA Table'!F6:F29, "*Denial of Service (DoS)*")</f>
        <v/>
      </c>
      <c r="D16" s="13">
        <f>C16/$D$6</f>
        <v/>
      </c>
    </row>
    <row r="17">
      <c r="B17" s="11" t="inlineStr">
        <is>
          <t>Elevation of Privilege</t>
        </is>
      </c>
      <c r="C17" s="12">
        <f>COUNTIF('TARA Table'!F6:F29, "*Elevation of Privilege*")</f>
        <v/>
      </c>
      <c r="D17" s="13">
        <f>C17/$D$6</f>
        <v/>
      </c>
    </row>
    <row r="18">
      <c r="B18" s="14" t="inlineStr">
        <is>
          <t>Total</t>
        </is>
      </c>
      <c r="C18" s="15">
        <f>SUM(C12:C17)</f>
        <v/>
      </c>
      <c r="D18" s="16">
        <f>SUM(D12:D17)</f>
        <v/>
      </c>
    </row>
  </sheetData>
  <mergeCells count="5">
    <mergeCell ref="B10:D10"/>
    <mergeCell ref="B6:C6"/>
    <mergeCell ref="B5:D5"/>
    <mergeCell ref="B7:C7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58" customWidth="1" min="3" max="3"/>
    <col width="65" customWidth="1" min="4" max="4"/>
    <col width="18" customWidth="1" min="5" max="5"/>
    <col width="26" customWidth="1" min="6" max="6"/>
  </cols>
  <sheetData>
    <row r="2">
      <c r="B2" s="1" t="inlineStr">
        <is>
          <t>Threat Analysis &amp; Risk Assessment (TARA) Table</t>
        </is>
      </c>
    </row>
    <row r="3">
      <c r="B3" s="2" t="inlineStr">
        <is>
          <t>Aligned with Medini Analyze Architecture (ISO/SAE 21434 &amp; STRIDE Methodology)</t>
        </is>
      </c>
    </row>
    <row r="5">
      <c r="B5" s="17" t="inlineStr">
        <is>
          <t>ID</t>
        </is>
      </c>
      <c r="C5" s="17" t="inlineStr">
        <is>
          <t>Name</t>
        </is>
      </c>
      <c r="D5" s="17" t="inlineStr">
        <is>
          <t>Assets</t>
        </is>
      </c>
      <c r="E5" s="17" t="inlineStr">
        <is>
          <t>To Be Assessed</t>
        </is>
      </c>
      <c r="F5" s="17" t="inlineStr">
        <is>
          <t>Category</t>
        </is>
      </c>
    </row>
    <row r="6">
      <c r="B6" s="18" t="inlineStr">
        <is>
          <t>THR-001</t>
        </is>
      </c>
      <c r="C6" s="19" t="inlineStr">
        <is>
          <t>Optical Spoofing / Adversarial Attack on Camera Feed</t>
        </is>
      </c>
      <c r="D6" s="19" t="inlineStr">
        <is>
          <t>Camera Video Stream (C Out), Visual Perception Feature Data</t>
        </is>
      </c>
      <c r="E6" s="8" t="b">
        <v>1</v>
      </c>
      <c r="F6" s="12" t="inlineStr">
        <is>
          <t>Spoofing</t>
        </is>
      </c>
    </row>
    <row r="7">
      <c r="B7" s="7" t="inlineStr">
        <is>
          <t>THR-002</t>
        </is>
      </c>
      <c r="C7" s="20" t="inlineStr">
        <is>
          <t>RF Signal Spoofing on Radar Distance Measurements</t>
        </is>
      </c>
      <c r="D7" s="20" t="inlineStr">
        <is>
          <t>Radar RF Output (R Out), Target Range/Velocity Data</t>
        </is>
      </c>
      <c r="E7" s="8" t="b">
        <v>1</v>
      </c>
      <c r="F7" s="12" t="inlineStr">
        <is>
          <t>Spoofing</t>
        </is>
      </c>
    </row>
    <row r="8">
      <c r="B8" s="18" t="inlineStr">
        <is>
          <t>THR-003</t>
        </is>
      </c>
      <c r="C8" s="19" t="inlineStr">
        <is>
          <t>Laser Pulse Spoofing on LIDAR Point Cloud Data</t>
        </is>
      </c>
      <c r="D8" s="19" t="inlineStr">
        <is>
          <t>LIDAR Point Cloud Output (L Out), Obstacle Distance Mapping</t>
        </is>
      </c>
      <c r="E8" s="8" t="b">
        <v>1</v>
      </c>
      <c r="F8" s="12" t="inlineStr">
        <is>
          <t>Spoofing</t>
        </is>
      </c>
    </row>
    <row r="9">
      <c r="B9" s="7" t="inlineStr">
        <is>
          <t>THR-004</t>
        </is>
      </c>
      <c r="C9" s="20" t="inlineStr">
        <is>
          <t>V2X Message Spoofing via OBU Hardware</t>
        </is>
      </c>
      <c r="D9" s="20" t="inlineStr">
        <is>
          <t>OBU Hardware Output (OBU Out), External Road Infrastructure Telemetry</t>
        </is>
      </c>
      <c r="E9" s="8" t="b">
        <v>1</v>
      </c>
      <c r="F9" s="12" t="inlineStr">
        <is>
          <t>Spoofing</t>
        </is>
      </c>
    </row>
    <row r="10">
      <c r="B10" s="18" t="inlineStr">
        <is>
          <t>THR-005</t>
        </is>
      </c>
      <c r="C10" s="19" t="inlineStr">
        <is>
          <t>Sensor Signal Tampering in Perception Fusion Module</t>
        </is>
      </c>
      <c r="D10" s="19" t="inlineStr">
        <is>
          <t>Fused Perception Data (PM Out), Sensor Fusion Algorithm Logic</t>
        </is>
      </c>
      <c r="E10" s="8" t="b">
        <v>1</v>
      </c>
      <c r="F10" s="12" t="inlineStr">
        <is>
          <t>Tampering</t>
        </is>
      </c>
    </row>
    <row r="11">
      <c r="B11" s="7" t="inlineStr">
        <is>
          <t>THR-006</t>
        </is>
      </c>
      <c r="C11" s="20" t="inlineStr">
        <is>
          <t>Lens Blinding / Physical Disruption of Camera Sensor</t>
        </is>
      </c>
      <c r="D11" s="20" t="inlineStr">
        <is>
          <t>Camera Physical Hardware, Lens Optical Line-of-Sight</t>
        </is>
      </c>
      <c r="E11" s="8" t="b">
        <v>1</v>
      </c>
      <c r="F11" s="12" t="inlineStr">
        <is>
          <t>Tampering</t>
        </is>
      </c>
    </row>
    <row r="12">
      <c r="B12" s="18" t="inlineStr">
        <is>
          <t>THR-007</t>
        </is>
      </c>
      <c r="C12" s="19" t="inlineStr">
        <is>
          <t>Eavesdropping on V2X Broadcasts via OBU Interface</t>
        </is>
      </c>
      <c r="D12" s="19" t="inlineStr">
        <is>
          <t>Vehicle Location Telemetry, Unencrypted OBU Data Payloads</t>
        </is>
      </c>
      <c r="E12" s="8" t="b">
        <v>1</v>
      </c>
      <c r="F12" s="12" t="inlineStr">
        <is>
          <t>Information Disclosure</t>
        </is>
      </c>
    </row>
    <row r="13">
      <c r="B13" s="7" t="inlineStr">
        <is>
          <t>THR-008</t>
        </is>
      </c>
      <c r="C13" s="20" t="inlineStr">
        <is>
          <t>RF Jamming of Radar Operating Frequency</t>
        </is>
      </c>
      <c r="D13" s="20" t="inlineStr">
        <is>
          <t>Radar Sensor Signal Availability (R Out)</t>
        </is>
      </c>
      <c r="E13" s="8" t="b">
        <v>1</v>
      </c>
      <c r="F13" s="12" t="inlineStr">
        <is>
          <t>Denial of Service (DoS)</t>
        </is>
      </c>
    </row>
    <row r="14">
      <c r="B14" s="18" t="inlineStr">
        <is>
          <t>THR-009</t>
        </is>
      </c>
      <c r="C14" s="19" t="inlineStr">
        <is>
          <t>Firmware Vulnerability Exploitation on OBU Hardware</t>
        </is>
      </c>
      <c r="D14" s="19" t="inlineStr">
        <is>
          <t>OBU Internal Firmware, Gateway Bus System Privilege Level</t>
        </is>
      </c>
      <c r="E14" s="8" t="b">
        <v>1</v>
      </c>
      <c r="F14" s="12" t="inlineStr">
        <is>
          <t>Elevation of Privilege</t>
        </is>
      </c>
    </row>
    <row r="15">
      <c r="B15" s="7" t="inlineStr">
        <is>
          <t>THR-010</t>
        </is>
      </c>
      <c r="C15" s="20" t="inlineStr">
        <is>
          <t>Adversarial Perturbation Injection at Input Feature Tensor</t>
        </is>
      </c>
      <c r="D15" s="20" t="inlineStr">
        <is>
          <t>Data Preprocessing Sub-Module, Input Vector (AI In)</t>
        </is>
      </c>
      <c r="E15" s="8" t="b">
        <v>1</v>
      </c>
      <c r="F15" s="12" t="inlineStr">
        <is>
          <t>Tampering</t>
        </is>
      </c>
    </row>
    <row r="16">
      <c r="B16" s="18" t="inlineStr">
        <is>
          <t>THR-011</t>
        </is>
      </c>
      <c r="C16" s="19" t="inlineStr">
        <is>
          <t>Model Weight Poisoning / Malicious OTA Update</t>
        </is>
      </c>
      <c r="D16" s="19" t="inlineStr">
        <is>
          <t>AI Decision Engine Software Logic, Neural Network Model Weights</t>
        </is>
      </c>
      <c r="E16" s="8" t="b">
        <v>1</v>
      </c>
      <c r="F16" s="12" t="inlineStr">
        <is>
          <t>Tampering</t>
        </is>
      </c>
    </row>
    <row r="17">
      <c r="B17" s="7" t="inlineStr">
        <is>
          <t>THR-012</t>
        </is>
      </c>
      <c r="C17" s="20" t="inlineStr">
        <is>
          <t>Algorithmic Resource Exhaustion on AI Controller Runtime</t>
        </is>
      </c>
      <c r="D17" s="20" t="inlineStr">
        <is>
          <t>AI Controller Execution Loop (AI Out), Target Velocity Calculations</t>
        </is>
      </c>
      <c r="E17" s="8" t="b">
        <v>1</v>
      </c>
      <c r="F17" s="12" t="inlineStr">
        <is>
          <t>Denial of Service (DoS)</t>
        </is>
      </c>
    </row>
    <row r="18">
      <c r="B18" s="18" t="inlineStr">
        <is>
          <t>THR-013</t>
        </is>
      </c>
      <c r="C18" s="19" t="inlineStr">
        <is>
          <t>Unauthorized Arbitrary Code Execution in AI Software Unit</t>
        </is>
      </c>
      <c r="D18" s="19" t="inlineStr">
        <is>
          <t>AI Controller Software Memory Space, Execution Privilege Level</t>
        </is>
      </c>
      <c r="E18" s="8" t="b">
        <v>1</v>
      </c>
      <c r="F18" s="12" t="inlineStr">
        <is>
          <t>Elevation of Privilege</t>
        </is>
      </c>
    </row>
    <row r="19">
      <c r="B19" s="7" t="inlineStr">
        <is>
          <t>THR-014</t>
        </is>
      </c>
      <c r="C19" s="20" t="inlineStr">
        <is>
          <t>Diagnostic Interface Reverse Engineering of AI Weights</t>
        </is>
      </c>
      <c r="D19" s="20" t="inlineStr">
        <is>
          <t>AI Model Intellectual Property, Neural Network Architecture</t>
        </is>
      </c>
      <c r="E19" s="9" t="b">
        <v>0</v>
      </c>
      <c r="F19" s="12" t="inlineStr">
        <is>
          <t>Information Disclosure</t>
        </is>
      </c>
    </row>
    <row r="20">
      <c r="B20" s="18" t="inlineStr">
        <is>
          <t>THR-015</t>
        </is>
      </c>
      <c r="C20" s="19" t="inlineStr">
        <is>
          <t>Control Message Injection on Actuation Interface Bus</t>
        </is>
      </c>
      <c r="D20" s="19" t="inlineStr">
        <is>
          <t>Actuation Input Signal (AM In), Desired Acceleration/Deceleration Command</t>
        </is>
      </c>
      <c r="E20" s="8" t="b">
        <v>1</v>
      </c>
      <c r="F20" s="12" t="inlineStr">
        <is>
          <t>Tampering</t>
        </is>
      </c>
    </row>
    <row r="21">
      <c r="B21" s="7" t="inlineStr">
        <is>
          <t>THR-016</t>
        </is>
      </c>
      <c r="C21" s="20" t="inlineStr">
        <is>
          <t>Unintended Hard Braking Command Forgery (Phantom Braking)</t>
        </is>
      </c>
      <c r="D21" s="20" t="inlineStr">
        <is>
          <t>Brake Actuator Input (B In), Brake Control Loop Integrity</t>
        </is>
      </c>
      <c r="E21" s="8" t="b">
        <v>1</v>
      </c>
      <c r="F21" s="12" t="inlineStr">
        <is>
          <t>Tampering</t>
        </is>
      </c>
    </row>
    <row r="22">
      <c r="B22" s="18" t="inlineStr">
        <is>
          <t>THR-017</t>
        </is>
      </c>
      <c r="C22" s="19" t="inlineStr">
        <is>
          <t>False Acceleration Command Injection into Throttle Actuator</t>
        </is>
      </c>
      <c r="D22" s="19" t="inlineStr">
        <is>
          <t>Throttle Actuator Input (T In), Acceleration Signal Integrity</t>
        </is>
      </c>
      <c r="E22" s="8" t="b">
        <v>1</v>
      </c>
      <c r="F22" s="12" t="inlineStr">
        <is>
          <t>Tampering</t>
        </is>
      </c>
    </row>
    <row r="23">
      <c r="B23" s="7" t="inlineStr">
        <is>
          <t>THR-018</t>
        </is>
      </c>
      <c r="C23" s="20" t="inlineStr">
        <is>
          <t>Disruption / Interruption of Brake Command Signals</t>
        </is>
      </c>
      <c r="D23" s="20" t="inlineStr">
        <is>
          <t>Brake Actuator Availability (B In), Deceleration Loop</t>
        </is>
      </c>
      <c r="E23" s="8" t="b">
        <v>1</v>
      </c>
      <c r="F23" s="12" t="inlineStr">
        <is>
          <t>Denial of Service (DoS)</t>
        </is>
      </c>
    </row>
    <row r="24">
      <c r="B24" s="18" t="inlineStr">
        <is>
          <t>THR-019</t>
        </is>
      </c>
      <c r="C24" s="19" t="inlineStr">
        <is>
          <t>Throttle Command Signal Starvation</t>
        </is>
      </c>
      <c r="D24" s="19" t="inlineStr">
        <is>
          <t>Throttle Actuator Availability (T In), Engine Propulsion Loop</t>
        </is>
      </c>
      <c r="E24" s="8" t="b">
        <v>1</v>
      </c>
      <c r="F24" s="12" t="inlineStr">
        <is>
          <t>Denial of Service (DoS)</t>
        </is>
      </c>
    </row>
    <row r="25">
      <c r="B25" s="7" t="inlineStr">
        <is>
          <t>THR-020</t>
        </is>
      </c>
      <c r="C25" s="20" t="inlineStr">
        <is>
          <t>AEB Safety Override Bypassing during Imminent Hazard</t>
        </is>
      </c>
      <c r="D25" s="20" t="inlineStr">
        <is>
          <t>AEB Hardware Part Logic (AEB In), Safety Intervention Override</t>
        </is>
      </c>
      <c r="E25" s="8" t="b">
        <v>1</v>
      </c>
      <c r="F25" s="12" t="inlineStr">
        <is>
          <t>Elevation of Privilege</t>
        </is>
      </c>
    </row>
    <row r="26">
      <c r="B26" s="18" t="inlineStr">
        <is>
          <t>THR-021</t>
        </is>
      </c>
      <c r="C26" s="19" t="inlineStr">
        <is>
          <t>Fake Emergency Signal Injection to AEB Hardware</t>
        </is>
      </c>
      <c r="D26" s="19" t="inlineStr">
        <is>
          <t>AEB Trigger Input Signal (AEB In), Autonomous Braking Engagement</t>
        </is>
      </c>
      <c r="E26" s="8" t="b">
        <v>1</v>
      </c>
      <c r="F26" s="12" t="inlineStr">
        <is>
          <t>Spoofing</t>
        </is>
      </c>
    </row>
    <row r="27">
      <c r="B27" s="7" t="inlineStr">
        <is>
          <t>THR-022</t>
        </is>
      </c>
      <c r="C27" s="20" t="inlineStr">
        <is>
          <t>Absence of Cryptographic Audit Logging for Actuation Commands</t>
        </is>
      </c>
      <c r="D27" s="20" t="inlineStr">
        <is>
          <t>Actuation Event Log Files, Non-Repudiation Telemetry</t>
        </is>
      </c>
      <c r="E27" s="9" t="b">
        <v>0</v>
      </c>
      <c r="F27" s="12" t="inlineStr">
        <is>
          <t>Repudiation</t>
        </is>
      </c>
    </row>
    <row r="28">
      <c r="B28" s="18" t="inlineStr">
        <is>
          <t>THR-023</t>
        </is>
      </c>
      <c r="C28" s="19" t="inlineStr">
        <is>
          <t>Manipulation of Vehicle Dynamics Monitoring Feedback</t>
        </is>
      </c>
      <c r="D28" s="19" t="inlineStr">
        <is>
          <t>Continuous Dynamics State Telemetry, Speed/Yaw Rate Signals</t>
        </is>
      </c>
      <c r="E28" s="8" t="b">
        <v>1</v>
      </c>
      <c r="F28" s="12" t="inlineStr">
        <is>
          <t>Tampering</t>
        </is>
      </c>
    </row>
    <row r="29">
      <c r="B29" s="7" t="inlineStr">
        <is>
          <t>THR-024</t>
        </is>
      </c>
      <c r="C29" s="20" t="inlineStr">
        <is>
          <t>Observation Loop Disruption in Vehicle Dynamics Module</t>
        </is>
      </c>
      <c r="D29" s="20" t="inlineStr">
        <is>
          <t>Continuous Observation Loop Availability, Real-time Dynamics Feedback</t>
        </is>
      </c>
      <c r="E29" s="8" t="b">
        <v>1</v>
      </c>
      <c r="F29" s="12" t="inlineStr">
        <is>
          <t>Denial of Service (DoS)</t>
        </is>
      </c>
    </row>
  </sheetData>
  <autoFilter ref="B5:F29"/>
  <dataValidations count="2">
    <dataValidation sqref="E6 E7 E8 E9 E10 E11 E12 E13 E14 E15 E16 E17 E18 E19 E20 E21 E22 E23 E24 E25 E26 E27 E28 E29" showDropDown="0" showInputMessage="0" showErrorMessage="0" allowBlank="0" type="list">
      <formula1>"TRUE,FALSE"</formula1>
    </dataValidation>
    <dataValidation sqref="F6 F7 F8 F9 F10 F11 F12 F13 F14 F15 F16 F17 F18 F19 F20 F21 F22 F23 F24 F25 F26 F27 F28 F29" showDropDown="0" showInputMessage="0" showErrorMessage="0" allowBlank="0" type="list">
      <formula1>"Spoofing,Tampering,Repudiation,Information Disclosure,Denial of Service (DoS),Elevation of Privilege"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2026-09-24T10:13:08Z</dcterms:created>
  <dcterms:modified xmlns:dcterms="http://purl.org/dc/terms/" xmlns:xsi="http://www.w3.org/2001/XMLSchema-instance" xsi:type="dcterms:W3CDTF">2026-09-24T10:13:08Z</dcterms:modified>
</cp:coreProperties>
</file>