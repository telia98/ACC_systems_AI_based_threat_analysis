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at Scenarios" sheetId="1" state="visible" r:id="rId3"/>
    <sheet name="Rationale" sheetId="2" state="visible" r:id="rId4"/>
    <sheet name="Summary" sheetId="3" state="visible" r:id="rId5"/>
  </sheets>
  <definedNames>
    <definedName function="false" hidden="false" localSheetId="1" name="_xlnm.Print_Titles" vbProcedure="false">Rationale!$1:$1</definedName>
    <definedName function="false" hidden="true" localSheetId="1" name="_xlnm._FilterDatabase" vbProcedure="false">Rationale!$A$1:$F$115</definedName>
    <definedName function="false" hidden="false" localSheetId="0" name="_xlnm.Print_Titles" vbProcedure="false">'Threat Scenarios'!$1:$1</definedName>
    <definedName function="false" hidden="true" localSheetId="0" name="_xlnm._FilterDatabase" vbProcedure="false">'Threat Scenarios'!$A$1:$E$115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<sst xmlns="http://schemas.openxmlformats.org/spreadsheetml/2006/main" count="1105" uniqueCount="385">
  <si>
    <t xml:space="preserve">ID</t>
  </si>
  <si>
    <t xml:space="preserve">Name</t>
  </si>
  <si>
    <t xml:space="preserve">Assets</t>
  </si>
  <si>
    <t xml:space="preserve">To Be Assessed</t>
  </si>
  <si>
    <t xml:space="preserve">Category</t>
  </si>
  <si>
    <t xml:space="preserve">TS-001</t>
  </si>
  <si>
    <t xml:space="preserve">Spoofing of AI Controller Module: a rogue ECU impersonates the AI controller and issues forged speed and distance decisions</t>
  </si>
  <si>
    <t xml:space="preserve">AI Controller Module</t>
  </si>
  <si>
    <t xml:space="preserve">Spoofing</t>
  </si>
  <si>
    <t xml:space="preserve">TS-002</t>
  </si>
  <si>
    <t xml:space="preserve">Tampering with AI Controller Module: the AI model weights, firmware or decision logic are modified, e.g. a poisoned or backdoored model delivered through an update</t>
  </si>
  <si>
    <t xml:space="preserve">Tampering</t>
  </si>
  <si>
    <t xml:space="preserve">TS-003</t>
  </si>
  <si>
    <t xml:space="preserve">Repudiation of AI Controller Module: an unsafe ACC decision cannot be traced back to its inputs or to its source</t>
  </si>
  <si>
    <t xml:space="preserve">Repudiation</t>
  </si>
  <si>
    <t xml:space="preserve">TS-004</t>
  </si>
  <si>
    <t xml:space="preserve">Information Disclosure from AI Controller Module: the AI model or its parameters are extracted</t>
  </si>
  <si>
    <t xml:space="preserve">Information Disclosure</t>
  </si>
  <si>
    <t xml:space="preserve">TS-005</t>
  </si>
  <si>
    <t xml:space="preserve">Denial of Service against AI Controller Module: resource exhaustion or a crash stops the controller from producing ACC decisions</t>
  </si>
  <si>
    <t xml:space="preserve">Denial of Service</t>
  </si>
  <si>
    <t xml:space="preserve">TS-006</t>
  </si>
  <si>
    <t xml:space="preserve">Elevation of Privilege on AI Controller Module: an attacker gains privileged code execution on the controller (e.g. insecure update or debug access) and takes over its outputs</t>
  </si>
  <si>
    <t xml:space="preserve">Elevation of Privilege</t>
  </si>
  <si>
    <t xml:space="preserve">TS-007</t>
  </si>
  <si>
    <t xml:space="preserve">Spoofing of Perception Module: a rogue node impersonates the Perception Module and feeds a fabricated environment model to the AI controller</t>
  </si>
  <si>
    <t xml:space="preserve">Perception Module</t>
  </si>
  <si>
    <t xml:space="preserve">TS-008</t>
  </si>
  <si>
    <t xml:space="preserve">Tampering with Perception Module: the sensor fusion software or its calibration data is modified so object distance or speed is misreported</t>
  </si>
  <si>
    <t xml:space="preserve">TS-009</t>
  </si>
  <si>
    <t xml:space="preserve">Repudiation of Perception Module</t>
  </si>
  <si>
    <t xml:space="preserve">TS-010</t>
  </si>
  <si>
    <t xml:space="preserve">Information Disclosure from Perception Module: fused environment data, including camera imagery and vehicle position, is leaked</t>
  </si>
  <si>
    <t xml:space="preserve">TS-011</t>
  </si>
  <si>
    <t xml:space="preserve">Denial of Service against Perception Module: the fusion pipeline is overloaded (e.g. flooded with sensor frames) and object output is delayed or stopped</t>
  </si>
  <si>
    <t xml:space="preserve">TS-012</t>
  </si>
  <si>
    <t xml:space="preserve">Elevation of Privilege on Perception Module: code execution on the Perception Module is used as a pivot toward the AI controller and the vehicle network</t>
  </si>
  <si>
    <t xml:space="preserve">TS-013</t>
  </si>
  <si>
    <t xml:space="preserve">Spoofing of Camera: adversarial patches, projected images or screens create phantom vehicles or hide real ones</t>
  </si>
  <si>
    <t xml:space="preserve">Camera</t>
  </si>
  <si>
    <t xml:space="preserve">TS-014</t>
  </si>
  <si>
    <t xml:space="preserve">Tampering with Camera: the camera is misaligned, its lens obstructed or its firmware modified so the captured scene is altered</t>
  </si>
  <si>
    <t xml:space="preserve">TS-015</t>
  </si>
  <si>
    <t xml:space="preserve">Repudiation of Camera</t>
  </si>
  <si>
    <t xml:space="preserve">TS-016</t>
  </si>
  <si>
    <t xml:space="preserve">Information Disclosure from Camera: camera imagery is exposed through a compromised camera or its debug access</t>
  </si>
  <si>
    <t xml:space="preserve">TS-017</t>
  </si>
  <si>
    <t xml:space="preserve">Denial of Service against Camera: the camera is blinded with strong light or a laser, or covered, and visual perception is lost</t>
  </si>
  <si>
    <t xml:space="preserve">TS-018</t>
  </si>
  <si>
    <t xml:space="preserve">Elevation of Privilege on Camera</t>
  </si>
  <si>
    <t xml:space="preserve">TS-019</t>
  </si>
  <si>
    <t xml:space="preserve">Spoofing of Radar: a radar signal generator injects ghost targets with false distance or relative speed</t>
  </si>
  <si>
    <t xml:space="preserve">Radar</t>
  </si>
  <si>
    <t xml:space="preserve">TS-020</t>
  </si>
  <si>
    <t xml:space="preserve">Tampering with Radar: the radar mounting is misaligned or its firmware changed so measurements are distorted</t>
  </si>
  <si>
    <t xml:space="preserve">TS-021</t>
  </si>
  <si>
    <t xml:space="preserve">Repudiation of Radar</t>
  </si>
  <si>
    <t xml:space="preserve">TS-022</t>
  </si>
  <si>
    <t xml:space="preserve">Information Disclosure from Radar</t>
  </si>
  <si>
    <t xml:space="preserve">TS-023</t>
  </si>
  <si>
    <t xml:space="preserve">Denial of Service against Radar: radar jamming or interference masks real targets</t>
  </si>
  <si>
    <t xml:space="preserve">TS-024</t>
  </si>
  <si>
    <t xml:space="preserve">Elevation of Privilege on Radar</t>
  </si>
  <si>
    <t xml:space="preserve">TS-025</t>
  </si>
  <si>
    <t xml:space="preserve">Spoofing of LIDAR: injected laser pulses create spoofed points and fake obstacles</t>
  </si>
  <si>
    <t xml:space="preserve">LIDAR</t>
  </si>
  <si>
    <t xml:space="preserve">TS-026</t>
  </si>
  <si>
    <t xml:space="preserve">Tampering with LIDAR: the LIDAR calibration, mounting or firmware is changed so the point cloud is distorted</t>
  </si>
  <si>
    <t xml:space="preserve">TS-027</t>
  </si>
  <si>
    <t xml:space="preserve">Repudiation of LIDAR</t>
  </si>
  <si>
    <t xml:space="preserve">TS-028</t>
  </si>
  <si>
    <t xml:space="preserve">Information Disclosure from LIDAR</t>
  </si>
  <si>
    <t xml:space="preserve">TS-029</t>
  </si>
  <si>
    <t xml:space="preserve">Denial of Service against LIDAR: laser saturation or jamming removes valid returns</t>
  </si>
  <si>
    <t xml:space="preserve">TS-030</t>
  </si>
  <si>
    <t xml:space="preserve">Elevation of Privilege on LIDAR</t>
  </si>
  <si>
    <t xml:space="preserve">TS-031</t>
  </si>
  <si>
    <t xml:space="preserve">Spoofing of OBU: forged V2X messages (fake vehicles, fake braking warnings) are accepted as genuine</t>
  </si>
  <si>
    <t xml:space="preserve">OBU</t>
  </si>
  <si>
    <t xml:space="preserve">TS-032</t>
  </si>
  <si>
    <t xml:space="preserve">Tampering with OBU: the OBU firmware or the V2X content it forwards is modified</t>
  </si>
  <si>
    <t xml:space="preserve">TS-033</t>
  </si>
  <si>
    <t xml:space="preserve">Repudiation of OBU: a sender denies having transmitted a V2X message because messages are not verifiably signed</t>
  </si>
  <si>
    <t xml:space="preserve">TS-034</t>
  </si>
  <si>
    <t xml:space="preserve">Information Disclosure from OBU: vehicle position, trajectory or V2X credentials are leaked, enabling tracking</t>
  </si>
  <si>
    <t xml:space="preserve">TS-035</t>
  </si>
  <si>
    <t xml:space="preserve">Denial of Service against OBU: RF jamming or message flooding blocks V2X reception</t>
  </si>
  <si>
    <t xml:space="preserve">TS-036</t>
  </si>
  <si>
    <t xml:space="preserve">Elevation of Privilege on OBU: remote code execution through the wireless interface gives a foothold in the vehicle network</t>
  </si>
  <si>
    <t xml:space="preserve">TS-037</t>
  </si>
  <si>
    <t xml:space="preserve">Spoofing of Actuation Module: a rogue ECU impersonates the Actuation Module and issues brake and throttle commands</t>
  </si>
  <si>
    <t xml:space="preserve">Actuation Module</t>
  </si>
  <si>
    <t xml:space="preserve">TS-038</t>
  </si>
  <si>
    <t xml:space="preserve">Tampering with Actuation Module: the actuation logic, command limits or command translation is modified</t>
  </si>
  <si>
    <t xml:space="preserve">TS-039</t>
  </si>
  <si>
    <t xml:space="preserve">Repudiation of Actuation Module</t>
  </si>
  <si>
    <t xml:space="preserve">TS-040</t>
  </si>
  <si>
    <t xml:space="preserve">Information Disclosure from Actuation Module</t>
  </si>
  <si>
    <t xml:space="preserve">TS-041</t>
  </si>
  <si>
    <t xml:space="preserve">Denial of Service against Actuation Module: a crash or overload prevents brake and throttle commands from being executed</t>
  </si>
  <si>
    <t xml:space="preserve">TS-042</t>
  </si>
  <si>
    <t xml:space="preserve">Elevation of Privilege on Actuation Module: privileged access to the Actuation Module allows direct control of brake and throttle</t>
  </si>
  <si>
    <t xml:space="preserve">TS-043</t>
  </si>
  <si>
    <t xml:space="preserve">Spoofing of Brake</t>
  </si>
  <si>
    <t xml:space="preserve">Brake</t>
  </si>
  <si>
    <t xml:space="preserve">TS-044</t>
  </si>
  <si>
    <t xml:space="preserve">Tampering with Brake: physical or firmware tampering with the brake actuator changes the braking force applied</t>
  </si>
  <si>
    <t xml:space="preserve">TS-045</t>
  </si>
  <si>
    <t xml:space="preserve">Repudiation of Brake</t>
  </si>
  <si>
    <t xml:space="preserve">TS-046</t>
  </si>
  <si>
    <t xml:space="preserve">Information Disclosure from Brake</t>
  </si>
  <si>
    <t xml:space="preserve">TS-047</t>
  </si>
  <si>
    <t xml:space="preserve">Denial of Service against Brake: the brake actuator is disabled and cannot brake on request</t>
  </si>
  <si>
    <t xml:space="preserve">TS-048</t>
  </si>
  <si>
    <t xml:space="preserve">Elevation of Privilege on Brake</t>
  </si>
  <si>
    <t xml:space="preserve">TS-049</t>
  </si>
  <si>
    <t xml:space="preserve">Spoofing of Throttle</t>
  </si>
  <si>
    <t xml:space="preserve">Throttle</t>
  </si>
  <si>
    <t xml:space="preserve">TS-050</t>
  </si>
  <si>
    <t xml:space="preserve">Tampering with Throttle: physical or firmware tampering with the throttle actuator causes unintended acceleration</t>
  </si>
  <si>
    <t xml:space="preserve">TS-051</t>
  </si>
  <si>
    <t xml:space="preserve">Repudiation of Throttle</t>
  </si>
  <si>
    <t xml:space="preserve">TS-052</t>
  </si>
  <si>
    <t xml:space="preserve">Information Disclosure from Throttle</t>
  </si>
  <si>
    <t xml:space="preserve">TS-053</t>
  </si>
  <si>
    <t xml:space="preserve">Denial of Service against Throttle: the throttle actuator is disabled or stuck</t>
  </si>
  <si>
    <t xml:space="preserve">TS-054</t>
  </si>
  <si>
    <t xml:space="preserve">Elevation of Privilege on Throttle</t>
  </si>
  <si>
    <t xml:space="preserve">TS-055</t>
  </si>
  <si>
    <t xml:space="preserve">Spoofing of AEB</t>
  </si>
  <si>
    <t xml:space="preserve">AEB</t>
  </si>
  <si>
    <t xml:space="preserve">TS-056</t>
  </si>
  <si>
    <t xml:space="preserve">Tampering with AEB: AEB is tampered with so it brakes without reason or does not brake when needed</t>
  </si>
  <si>
    <t xml:space="preserve">TS-057</t>
  </si>
  <si>
    <t xml:space="preserve">Repudiation of AEB: AEB activations are not reliably recorded and cannot be proven afterwards</t>
  </si>
  <si>
    <t xml:space="preserve">TS-058</t>
  </si>
  <si>
    <t xml:space="preserve">Information Disclosure from AEB</t>
  </si>
  <si>
    <t xml:space="preserve">TS-059</t>
  </si>
  <si>
    <t xml:space="preserve">Denial of Service against AEB: AEB is unavailable at the moment an emergency stop is needed</t>
  </si>
  <si>
    <t xml:space="preserve">TS-060</t>
  </si>
  <si>
    <t xml:space="preserve">Elevation of Privilege on AEB</t>
  </si>
  <si>
    <t xml:space="preserve">TS-061</t>
  </si>
  <si>
    <t xml:space="preserve">Spoofing of PM Out → AI In: forged object lists are injected into the AI controller input</t>
  </si>
  <si>
    <t xml:space="preserve">PM Out → AI In</t>
  </si>
  <si>
    <t xml:space="preserve">TS-062</t>
  </si>
  <si>
    <t xml:space="preserve">Tampering with PM Out → AI In: object distances or speeds are modified in transit (man in the middle on the bus)</t>
  </si>
  <si>
    <t xml:space="preserve">TS-063</t>
  </si>
  <si>
    <t xml:space="preserve">Repudiation of PM Out → AI In</t>
  </si>
  <si>
    <t xml:space="preserve">TS-064</t>
  </si>
  <si>
    <t xml:space="preserve">Information Disclosure from PM Out → AI In: perception data (surroundings, position) is eavesdropped; together with AI Out it supports black-box model extraction</t>
  </si>
  <si>
    <t xml:space="preserve">TS-065</t>
  </si>
  <si>
    <t xml:space="preserve">Denial of Service against PM Out → AI In: bus flooding or message suppression starves the AI controller of perception data</t>
  </si>
  <si>
    <t xml:space="preserve">TS-066</t>
  </si>
  <si>
    <t xml:space="preserve">Elevation of Privilege on PM Out → AI In</t>
  </si>
  <si>
    <t xml:space="preserve">TS-067</t>
  </si>
  <si>
    <t xml:space="preserve">Spoofing of AI Out → AM In: forged ACC decisions are injected on the bus (e.g. CAN message injection) into the Actuation Module</t>
  </si>
  <si>
    <t xml:space="preserve">AI Out → AM In</t>
  </si>
  <si>
    <t xml:space="preserve">TS-068</t>
  </si>
  <si>
    <t xml:space="preserve">Tampering with AI Out → AM In: target speed or acceleration requests are modified in transit</t>
  </si>
  <si>
    <t xml:space="preserve">TS-069</t>
  </si>
  <si>
    <t xml:space="preserve">Repudiation of AI Out → AM In</t>
  </si>
  <si>
    <t xml:space="preserve">TS-070</t>
  </si>
  <si>
    <t xml:space="preserve">Information Disclosure from AI Out → AM In: AI decisions are eavesdropped; paired with PM Out data this supports model extraction</t>
  </si>
  <si>
    <t xml:space="preserve">TS-071</t>
  </si>
  <si>
    <t xml:space="preserve">Denial of Service against AI Out → AM In: decision messages are blocked or delayed (flooding, bus-off attack)</t>
  </si>
  <si>
    <t xml:space="preserve">TS-072</t>
  </si>
  <si>
    <t xml:space="preserve">Elevation of Privilege on AI Out → AM In</t>
  </si>
  <si>
    <t xml:space="preserve">TS-073</t>
  </si>
  <si>
    <t xml:space="preserve">Spoofing of C Out → PM In: fabricated video frames are injected on the camera link</t>
  </si>
  <si>
    <t xml:space="preserve">C Out → PM In</t>
  </si>
  <si>
    <t xml:space="preserve">TS-074</t>
  </si>
  <si>
    <t xml:space="preserve">Tampering with C Out → PM In: frames are altered in transit, e.g. an adversarial perturbation added on the link</t>
  </si>
  <si>
    <t xml:space="preserve">TS-075</t>
  </si>
  <si>
    <t xml:space="preserve">Repudiation of C Out → PM In</t>
  </si>
  <si>
    <t xml:space="preserve">TS-076</t>
  </si>
  <si>
    <t xml:space="preserve">Information Disclosure from C Out → PM In: the video stream is intercepted and personal data exposed</t>
  </si>
  <si>
    <t xml:space="preserve">TS-077</t>
  </si>
  <si>
    <t xml:space="preserve">Denial of Service against C Out → PM In: the camera link is disrupted or cut</t>
  </si>
  <si>
    <t xml:space="preserve">TS-078</t>
  </si>
  <si>
    <t xml:space="preserve">Elevation of Privilege on C Out → PM In</t>
  </si>
  <si>
    <t xml:space="preserve">TS-079</t>
  </si>
  <si>
    <t xml:space="preserve">Spoofing of R Out → PM In: fabricated radar target data is injected on the radar link</t>
  </si>
  <si>
    <t xml:space="preserve">R Out → PM In</t>
  </si>
  <si>
    <t xml:space="preserve">TS-080</t>
  </si>
  <si>
    <t xml:space="preserve">Tampering with R Out → PM In: radar target data is modified in transit</t>
  </si>
  <si>
    <t xml:space="preserve">TS-081</t>
  </si>
  <si>
    <t xml:space="preserve">Repudiation of R Out → PM In</t>
  </si>
  <si>
    <t xml:space="preserve">TS-082</t>
  </si>
  <si>
    <t xml:space="preserve">Information Disclosure from R Out → PM In</t>
  </si>
  <si>
    <t xml:space="preserve">TS-083</t>
  </si>
  <si>
    <t xml:space="preserve">Denial of Service against R Out → PM In: the radar data link is flooded or blocked</t>
  </si>
  <si>
    <t xml:space="preserve">TS-084</t>
  </si>
  <si>
    <t xml:space="preserve">Elevation of Privilege on R Out → PM In</t>
  </si>
  <si>
    <t xml:space="preserve">TS-085</t>
  </si>
  <si>
    <t xml:space="preserve">Spoofing of L Out → PM In: fabricated point cloud data is injected on the LIDAR link</t>
  </si>
  <si>
    <t xml:space="preserve">L Out → PM In</t>
  </si>
  <si>
    <t xml:space="preserve">TS-086</t>
  </si>
  <si>
    <t xml:space="preserve">Tampering with L Out → PM In: point cloud data is modified in transit</t>
  </si>
  <si>
    <t xml:space="preserve">TS-087</t>
  </si>
  <si>
    <t xml:space="preserve">Repudiation of L Out → PM In</t>
  </si>
  <si>
    <t xml:space="preserve">TS-088</t>
  </si>
  <si>
    <t xml:space="preserve">Information Disclosure from L Out → PM In</t>
  </si>
  <si>
    <t xml:space="preserve">TS-089</t>
  </si>
  <si>
    <t xml:space="preserve">Denial of Service against L Out → PM In: the LIDAR data link is flooded or blocked</t>
  </si>
  <si>
    <t xml:space="preserve">TS-090</t>
  </si>
  <si>
    <t xml:space="preserve">Elevation of Privilege on L Out → PM In</t>
  </si>
  <si>
    <t xml:space="preserve">TS-091</t>
  </si>
  <si>
    <t xml:space="preserve">Spoofing of OBU Out → PM In: forged V2X-derived data is injected on the OBU link as if it came from the OBU</t>
  </si>
  <si>
    <t xml:space="preserve">OBU Out → PM In</t>
  </si>
  <si>
    <t xml:space="preserve">TS-092</t>
  </si>
  <si>
    <t xml:space="preserve">Tampering with OBU Out → PM In: V2X-derived data is modified in transit</t>
  </si>
  <si>
    <t xml:space="preserve">TS-093</t>
  </si>
  <si>
    <t xml:space="preserve">Repudiation of OBU Out → PM In</t>
  </si>
  <si>
    <t xml:space="preserve">TS-094</t>
  </si>
  <si>
    <t xml:space="preserve">Information Disclosure from OBU Out → PM In: position and V2X data on the link are exposed</t>
  </si>
  <si>
    <t xml:space="preserve">TS-095</t>
  </si>
  <si>
    <t xml:space="preserve">Denial of Service against OBU Out → PM In: the OBU link is flooded or blocked</t>
  </si>
  <si>
    <t xml:space="preserve">TS-096</t>
  </si>
  <si>
    <t xml:space="preserve">Elevation of Privilege on OBU Out → PM In</t>
  </si>
  <si>
    <t xml:space="preserve">TS-097</t>
  </si>
  <si>
    <t xml:space="preserve">Spoofing of AM Out → B In: forged brake commands are injected on the actuator link</t>
  </si>
  <si>
    <t xml:space="preserve">AM Out → B In</t>
  </si>
  <si>
    <t xml:space="preserve">TS-098</t>
  </si>
  <si>
    <t xml:space="preserve">Tampering with AM Out → B In: brake pressure or deceleration requests are modified in transit</t>
  </si>
  <si>
    <t xml:space="preserve">TS-099</t>
  </si>
  <si>
    <t xml:space="preserve">Repudiation of AM Out → B In</t>
  </si>
  <si>
    <t xml:space="preserve">TS-100</t>
  </si>
  <si>
    <t xml:space="preserve">Information Disclosure from AM Out → B In</t>
  </si>
  <si>
    <t xml:space="preserve">TS-101</t>
  </si>
  <si>
    <t xml:space="preserve">Denial of Service against AM Out → B In: brake commands are blocked or delayed</t>
  </si>
  <si>
    <t xml:space="preserve">TS-102</t>
  </si>
  <si>
    <t xml:space="preserve">Elevation of Privilege on AM Out → B In</t>
  </si>
  <si>
    <t xml:space="preserve">TS-103</t>
  </si>
  <si>
    <t xml:space="preserve">Spoofing of AM Out → T In: forged throttle commands are injected on the actuator link</t>
  </si>
  <si>
    <t xml:space="preserve">AM Out → T In</t>
  </si>
  <si>
    <t xml:space="preserve">TS-104</t>
  </si>
  <si>
    <t xml:space="preserve">Tampering with AM Out → T In: throttle requests are modified in transit</t>
  </si>
  <si>
    <t xml:space="preserve">TS-105</t>
  </si>
  <si>
    <t xml:space="preserve">Repudiation of AM Out → T In</t>
  </si>
  <si>
    <t xml:space="preserve">TS-106</t>
  </si>
  <si>
    <t xml:space="preserve">Information Disclosure from AM Out → T In</t>
  </si>
  <si>
    <t xml:space="preserve">TS-107</t>
  </si>
  <si>
    <t xml:space="preserve">Denial of Service against AM Out → T In: throttle commands are blocked or delayed</t>
  </si>
  <si>
    <t xml:space="preserve">TS-108</t>
  </si>
  <si>
    <t xml:space="preserve">Elevation of Privilege on AM Out → T In</t>
  </si>
  <si>
    <t xml:space="preserve">TS-109</t>
  </si>
  <si>
    <t xml:space="preserve">Spoofing of AM Out → AEB In: a forged AEB trigger causes unintended emergency braking</t>
  </si>
  <si>
    <t xml:space="preserve">AM Out → AEB In</t>
  </si>
  <si>
    <t xml:space="preserve">TS-110</t>
  </si>
  <si>
    <t xml:space="preserve">Tampering with AM Out → AEB In: the AEB trigger is modified in transit so it is suppressed or falsely raised</t>
  </si>
  <si>
    <t xml:space="preserve">TS-111</t>
  </si>
  <si>
    <t xml:space="preserve">Repudiation of AM Out → AEB In</t>
  </si>
  <si>
    <t xml:space="preserve">TS-112</t>
  </si>
  <si>
    <t xml:space="preserve">Information Disclosure from AM Out → AEB In</t>
  </si>
  <si>
    <t xml:space="preserve">TS-113</t>
  </si>
  <si>
    <t xml:space="preserve">Denial of Service against AM Out → AEB In: the AEB trigger is blocked or delayed</t>
  </si>
  <si>
    <t xml:space="preserve">TS-114</t>
  </si>
  <si>
    <t xml:space="preserve">Elevation of Privilege on AM Out → AEB In</t>
  </si>
  <si>
    <t xml:space="preserve">Asset Type</t>
  </si>
  <si>
    <t xml:space="preserve">Rationale</t>
  </si>
  <si>
    <t xml:space="preserve">Software Unit (upper level)</t>
  </si>
  <si>
    <t xml:space="preserve">The controller's output directly commands longitudinal motion, so the receivers must be able to trust where decisions come from.</t>
  </si>
  <si>
    <t xml:space="preserve">Loss of integrity in the decision engine leads straight to unsafe acceleration or braking.</t>
  </si>
  <si>
    <t xml:space="preserve">AI decisions need a trustworthy log for accident investigation and liability; injected decisions would otherwise go unattributed.</t>
  </si>
  <si>
    <t xml:space="preserve">Protects intellectual property, and a leaked model enables white-box adversarial attacks on the perception inputs.</t>
  </si>
  <si>
    <t xml:space="preserve">Losing decisions while driving at speed is safety relevant.</t>
  </si>
  <si>
    <t xml:space="preserve">Highest-impact case: full control of longitudinal vehicle control.</t>
  </si>
  <si>
    <t xml:space="preserve">Component (lower level)</t>
  </si>
  <si>
    <t xml:space="preserve">The AI controller trusts the object list completely; a fake source can steer every decision.</t>
  </si>
  <si>
    <t xml:space="preserve">Wrong fused data produces wrong decisions without any sensor being attacked.</t>
  </si>
  <si>
    <t xml:space="preserve">The module produces data, not attributable actions; traceability of decisions is handled at the AI Controller.</t>
  </si>
  <si>
    <t xml:space="preserve">Holds personal data (bystanders, plates, location), which is relevant under data protection rules.</t>
  </si>
  <si>
    <t xml:space="preserve">Late or missing perception data leaves the AI controller blind.</t>
  </si>
  <si>
    <t xml:space="preserve">It is a software component with network connections, so a compromise can spread.</t>
  </si>
  <si>
    <t xml:space="preserve">Sensor</t>
  </si>
  <si>
    <t xml:space="preserve">A known attack class against AI-based vision; it needs no access to the vehicle.</t>
  </si>
  <si>
    <t xml:space="preserve">Changes what the perception chain sees at the source.</t>
  </si>
  <si>
    <t xml:space="preserve">A fixed-function sensor performs no actions that need attribution.</t>
  </si>
  <si>
    <t xml:space="preserve">Video contains personal data about bystanders, plates and routes.</t>
  </si>
  <si>
    <t xml:space="preserve">Easy to perform and removes a primary input.</t>
  </si>
  <si>
    <t xml:space="preserve">A fixed-function sensor has no privilege model to escalate within.</t>
  </si>
  <si>
    <t xml:space="preserve">Directly affects the distance-keeping function ACC depends on.</t>
  </si>
  <si>
    <t xml:space="preserve">Biased range or angle readings shift every following decision.</t>
  </si>
  <si>
    <t xml:space="preserve">Radar returns carry no confidential or personal information of value.</t>
  </si>
  <si>
    <t xml:space="preserve">Loss of the main ranging sensor for ACC.</t>
  </si>
  <si>
    <t xml:space="preserve">Demonstrated attack class; can trigger phantom braking.</t>
  </si>
  <si>
    <t xml:space="preserve">Corrupts 3D object detection at the source.</t>
  </si>
  <si>
    <t xml:space="preserve">Raw point clouds carry little confidential value.</t>
  </si>
  <si>
    <t xml:space="preserve">Loss of a ranging input.</t>
  </si>
  <si>
    <t xml:space="preserve">Hardware Part (V2X on-board unit)</t>
  </si>
  <si>
    <t xml:space="preserve">Remote attack that needs no physical access; V2X data feeds perception directly.</t>
  </si>
  <si>
    <t xml:space="preserve">A compromised OBU can alter what the rest of the system believes about traffic ahead.</t>
  </si>
  <si>
    <t xml:space="preserve">V2X relies on signed messages for attribution and misbehaviour reporting.</t>
  </si>
  <si>
    <t xml:space="preserve">Location privacy and credential protection.</t>
  </si>
  <si>
    <t xml:space="preserve">Removes cooperative information and can overload processing.</t>
  </si>
  <si>
    <t xml:space="preserve">The OBU is the only externally reachable interface in the model, so it is the main remote entry point.</t>
  </si>
  <si>
    <t xml:space="preserve">Actuators trust this module as the only command source.</t>
  </si>
  <si>
    <t xml:space="preserve">Could remove safety limits on acceleration or deceleration.</t>
  </si>
  <si>
    <t xml:space="preserve">Executes commands decided upstream; attribution is handled at the AI Controller.</t>
  </si>
  <si>
    <t xml:space="preserve">Actuation data has little confidential value.</t>
  </si>
  <si>
    <t xml:space="preserve">The vehicle can no longer follow ACC decisions.</t>
  </si>
  <si>
    <t xml:space="preserve">Bypasses the AI decision layer entirely.</t>
  </si>
  <si>
    <t xml:space="preserve">Actuator</t>
  </si>
  <si>
    <t xml:space="preserve">The brake has no outgoing interface in the model; forged commands to it are covered by AM Out → B In.</t>
  </si>
  <si>
    <t xml:space="preserve">Braking is the most safety-critical actuation.</t>
  </si>
  <si>
    <t xml:space="preserve">An actuator performs commanded actions only; there is nothing to attribute at this level.</t>
  </si>
  <si>
    <t xml:space="preserve">Holds no confidential data.</t>
  </si>
  <si>
    <t xml:space="preserve">Loss of deceleration capability.</t>
  </si>
  <si>
    <t xml:space="preserve">A fixed-function actuator has no privilege model to escalate within.</t>
  </si>
  <si>
    <t xml:space="preserve">The throttle has no outgoing interface in the model; forged commands to it are covered by AM Out → T In.</t>
  </si>
  <si>
    <t xml:space="preserve">Unintended acceleration is directly hazardous.</t>
  </si>
  <si>
    <t xml:space="preserve">Loss or freezing of acceleration control.</t>
  </si>
  <si>
    <t xml:space="preserve">Hardware Part</t>
  </si>
  <si>
    <t xml:space="preserve">AEB has no outgoing interface in the model; forged triggers are covered by AM Out → AEB In.</t>
  </si>
  <si>
    <t xml:space="preserve">Both outcomes are hazardous (rear-end collision or missed emergency stop).</t>
  </si>
  <si>
    <t xml:space="preserve">Emergency braking events are key evidence for accident reconstruction and liability.</t>
  </si>
  <si>
    <t xml:space="preserve">Removes the last safety barrier.</t>
  </si>
  <si>
    <t xml:space="preserve">Modelled as a hardware part with no privilege model to escalate within.</t>
  </si>
  <si>
    <t xml:space="preserve">Connection (perception data to AI controller)</t>
  </si>
  <si>
    <t xml:space="preserve">The AI controller cannot tell forged object data from real data unless messages are authenticated.</t>
  </si>
  <si>
    <t xml:space="preserve">Shifts the AI's view of traffic without touching sensors.</t>
  </si>
  <si>
    <t xml:space="preserve">A data flow performs no actions; attribution belongs to its endpoints.</t>
  </si>
  <si>
    <t xml:space="preserve">Input side of the AI model plus personal data.</t>
  </si>
  <si>
    <t xml:space="preserve">The controller decides on stale or missing data.</t>
  </si>
  <si>
    <t xml:space="preserve">A data flow has no privilege context.</t>
  </si>
  <si>
    <t xml:space="preserve">Connection (decisions to actuation)</t>
  </si>
  <si>
    <t xml:space="preserve">The classic in-vehicle attack on ACC; directly controls speed.</t>
  </si>
  <si>
    <t xml:space="preserve">Changes vehicle behaviour while the AI output looks correct.</t>
  </si>
  <si>
    <t xml:space="preserve">Output side of the AI model.</t>
  </si>
  <si>
    <t xml:space="preserve">Actuation stops receiving decisions.</t>
  </si>
  <si>
    <t xml:space="preserve">Connection (camera to perception)</t>
  </si>
  <si>
    <t xml:space="preserve">Replaces the real scene without any visible attack on the road.</t>
  </si>
  <si>
    <t xml:space="preserve">Targets the AI vision model with pixel-level changes.</t>
  </si>
  <si>
    <t xml:space="preserve">Imagery of bystanders, plates and routes.</t>
  </si>
  <si>
    <t xml:space="preserve">Perception loses vision input.</t>
  </si>
  <si>
    <t xml:space="preserve">Connection (radar to perception)</t>
  </si>
  <si>
    <t xml:space="preserve">Fake targets reach fusion without any RF attack.</t>
  </si>
  <si>
    <t xml:space="preserve">Alters range and relative speed used for distance keeping.</t>
  </si>
  <si>
    <t xml:space="preserve">Radar target data carries no confidential value.</t>
  </si>
  <si>
    <t xml:space="preserve">Loss of the main ranging input.</t>
  </si>
  <si>
    <t xml:space="preserve">Connection (LIDAR to perception)</t>
  </si>
  <si>
    <t xml:space="preserve">Fake obstacles reach fusion.</t>
  </si>
  <si>
    <t xml:space="preserve">Distorts 3D object detection.</t>
  </si>
  <si>
    <t xml:space="preserve">Point cloud data carries little confidential value.</t>
  </si>
  <si>
    <t xml:space="preserve">Connection (V2X data to perception)</t>
  </si>
  <si>
    <t xml:space="preserve">Bypasses V2X signature checks done inside the OBU.</t>
  </si>
  <si>
    <t xml:space="preserve">Alters cooperative information about traffic ahead.</t>
  </si>
  <si>
    <t xml:space="preserve">Location privacy.</t>
  </si>
  <si>
    <t xml:space="preserve">Loss of cooperative information.</t>
  </si>
  <si>
    <t xml:space="preserve">Connection (brake command)</t>
  </si>
  <si>
    <t xml:space="preserve">Can cause phantom braking or cancel braking.</t>
  </si>
  <si>
    <t xml:space="preserve">Too little or too much braking.</t>
  </si>
  <si>
    <t xml:space="preserve">Brake commands carry no confidential value.</t>
  </si>
  <si>
    <t xml:space="preserve">Braking requests never arrive.</t>
  </si>
  <si>
    <t xml:space="preserve">Connection (throttle command)</t>
  </si>
  <si>
    <t xml:space="preserve">Can cause unintended acceleration.</t>
  </si>
  <si>
    <t xml:space="preserve">Wrong acceleration without a visible fault upstream.</t>
  </si>
  <si>
    <t xml:space="preserve">Throttle commands carry no confidential value.</t>
  </si>
  <si>
    <t xml:space="preserve">Loss of acceleration control.</t>
  </si>
  <si>
    <t xml:space="preserve">Connection (AEB trigger)</t>
  </si>
  <si>
    <t xml:space="preserve">Sudden full braking in traffic risks a rear-end collision.</t>
  </si>
  <si>
    <t xml:space="preserve">Both directions are hazardous.</t>
  </si>
  <si>
    <t xml:space="preserve">AEB triggers carry no confidential value.</t>
  </si>
  <si>
    <t xml:space="preserve">Emergency braking does not happen in time.</t>
  </si>
  <si>
    <t xml:space="preserve">TARA of AI-based ACC - AI engine run (STRIDE)</t>
  </si>
  <si>
    <t xml:space="preserve">STRIDE category</t>
  </si>
  <si>
    <t xml:space="preserve">Security property</t>
  </si>
  <si>
    <t xml:space="preserve">To Be Assessed = TRUE</t>
  </si>
  <si>
    <t xml:space="preserve">FALSE</t>
  </si>
  <si>
    <t xml:space="preserve">Total</t>
  </si>
  <si>
    <t xml:space="preserve">Authenticity</t>
  </si>
  <si>
    <t xml:space="preserve">Integrity</t>
  </si>
  <si>
    <t xml:space="preserve">Non-repudiation</t>
  </si>
  <si>
    <t xml:space="preserve">Confidentiality</t>
  </si>
  <si>
    <t xml:space="preserve">Availability</t>
  </si>
  <si>
    <t xml:space="preserve">Authorization</t>
  </si>
  <si>
    <t xml:space="preserve">Asset</t>
  </si>
  <si>
    <t xml:space="preserve">Asset type</t>
  </si>
  <si>
    <t xml:space="preserve">Method notes</t>
  </si>
  <si>
    <t xml:space="preserve">Scope: the elements of the medini analyze model (10 components, sensors, actuators and hardware parts, plus the 9 connections between them), so each row can be matched 1:1 with the medini output.</t>
  </si>
  <si>
    <t xml:space="preserve">Every asset gets one row per STRIDE category. To Be Assessed = TRUE means the threat is credible for that element and should go on to impact and attack feasibility rating; FALSE means it does not apply (reason on the Rationale sheet).</t>
  </si>
  <si>
    <t xml:space="preserve">STRIDE to security property: Spoofing - Authenticity, Tampering - Integrity, Repudiation - Non-repudiation, Information Disclosure - Confidentiality, Denial of Service - Availability, Elevation of Privilege - Authorization.</t>
  </si>
  <si>
    <t xml:space="preserve">Applicability rule used: processing components can face all six categories; fixed-function sensors and actuators have no privilege model (no Elevation of Privilege) and perform no attributable actions (no Repudiation); connections are assessed for Spoofing, Tampering, Information Disclosure and Denial of Service. Deliberate exceptions: the OBU gets all six because it is the external wireless entry point, and AEB keeps Repudiation because emergency braking events must be provable afterwards.</t>
  </si>
  <si>
    <t xml:space="preserve">Not modelled in medini, so kept out of this table: the Continuous Vehicle Dynamics Monitoring Module and its feedback loop, and the direct Perception to Actuation link shown in the general architecture.</t>
  </si>
  <si>
    <t xml:space="preserve">IDs (TS-001 ...) are this run's own numbering. Match rows to medini by Assets + Category.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</si>
</sst>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8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2" t="s">
        <v>7</v>
      </c>
      <c r="D2" s="3" t="b">
        <f aca="false">TRUE()</f>
        <v>1</v>
      </c>
      <c r="E2" s="2" t="s">
        <v>8</v>
      </c>
    </row>
    <row r="3" customFormat="false" ht="23.85" hidden="false" customHeight="false" outlineLevel="0" collapsed="false">
      <c r="A3" s="2" t="s">
        <v>9</v>
      </c>
      <c r="B3" s="2" t="s">
        <v>10</v>
      </c>
      <c r="C3" s="2" t="s">
        <v>7</v>
      </c>
      <c r="D3" s="3" t="b">
        <f aca="false">TRUE()</f>
        <v>1</v>
      </c>
      <c r="E3" s="2" t="s">
        <v>11</v>
      </c>
    </row>
    <row r="4" customFormat="false" ht="23.85" hidden="false" customHeight="false" outlineLevel="0" collapsed="false">
      <c r="A4" s="2" t="s">
        <v>12</v>
      </c>
      <c r="B4" s="2" t="s">
        <v>13</v>
      </c>
      <c r="C4" s="2" t="s">
        <v>7</v>
      </c>
      <c r="D4" s="3" t="b">
        <f aca="false">TRUE()</f>
        <v>1</v>
      </c>
      <c r="E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7</v>
      </c>
      <c r="D5" s="3" t="b">
        <f aca="false">TRUE()</f>
        <v>1</v>
      </c>
      <c r="E5" s="2" t="s">
        <v>17</v>
      </c>
    </row>
    <row r="6" customFormat="false" ht="23.85" hidden="false" customHeight="false" outlineLevel="0" collapsed="false">
      <c r="A6" s="2" t="s">
        <v>18</v>
      </c>
      <c r="B6" s="2" t="s">
        <v>19</v>
      </c>
      <c r="C6" s="2" t="s">
        <v>7</v>
      </c>
      <c r="D6" s="3" t="b">
        <f aca="false">TRUE()</f>
        <v>1</v>
      </c>
      <c r="E6" s="2" t="s">
        <v>20</v>
      </c>
    </row>
    <row r="7" customFormat="false" ht="23.85" hidden="false" customHeight="false" outlineLevel="0" collapsed="false">
      <c r="A7" s="2" t="s">
        <v>21</v>
      </c>
      <c r="B7" s="2" t="s">
        <v>22</v>
      </c>
      <c r="C7" s="2" t="s">
        <v>7</v>
      </c>
      <c r="D7" s="3" t="b">
        <f aca="false">TRUE()</f>
        <v>1</v>
      </c>
      <c r="E7" s="2" t="s">
        <v>23</v>
      </c>
    </row>
    <row r="8" customFormat="false" ht="23.85" hidden="false" customHeight="false" outlineLevel="0" collapsed="false">
      <c r="A8" s="2" t="s">
        <v>24</v>
      </c>
      <c r="B8" s="2" t="s">
        <v>25</v>
      </c>
      <c r="C8" s="2" t="s">
        <v>26</v>
      </c>
      <c r="D8" s="3" t="b">
        <f aca="false">TRUE()</f>
        <v>1</v>
      </c>
      <c r="E8" s="2" t="s">
        <v>8</v>
      </c>
    </row>
    <row r="9" customFormat="false" ht="23.85" hidden="false" customHeight="false" outlineLevel="0" collapsed="false">
      <c r="A9" s="2" t="s">
        <v>27</v>
      </c>
      <c r="B9" s="2" t="s">
        <v>28</v>
      </c>
      <c r="C9" s="2" t="s">
        <v>26</v>
      </c>
      <c r="D9" s="3" t="b">
        <f aca="false">TRUE()</f>
        <v>1</v>
      </c>
      <c r="E9" s="2" t="s">
        <v>11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26</v>
      </c>
      <c r="D10" s="4" t="b">
        <f aca="false">FALSE()</f>
        <v>0</v>
      </c>
      <c r="E10" s="2" t="s">
        <v>14</v>
      </c>
    </row>
    <row r="11" customFormat="false" ht="23.85" hidden="false" customHeight="false" outlineLevel="0" collapsed="false">
      <c r="A11" s="2" t="s">
        <v>31</v>
      </c>
      <c r="B11" s="2" t="s">
        <v>32</v>
      </c>
      <c r="C11" s="2" t="s">
        <v>26</v>
      </c>
      <c r="D11" s="3" t="b">
        <f aca="false">TRUE()</f>
        <v>1</v>
      </c>
      <c r="E11" s="2" t="s">
        <v>17</v>
      </c>
    </row>
    <row r="12" customFormat="false" ht="23.85" hidden="false" customHeight="false" outlineLevel="0" collapsed="false">
      <c r="A12" s="2" t="s">
        <v>33</v>
      </c>
      <c r="B12" s="2" t="s">
        <v>34</v>
      </c>
      <c r="C12" s="2" t="s">
        <v>26</v>
      </c>
      <c r="D12" s="3" t="b">
        <f aca="false">TRUE()</f>
        <v>1</v>
      </c>
      <c r="E12" s="2" t="s">
        <v>20</v>
      </c>
    </row>
    <row r="13" customFormat="false" ht="23.85" hidden="false" customHeight="false" outlineLevel="0" collapsed="false">
      <c r="A13" s="2" t="s">
        <v>35</v>
      </c>
      <c r="B13" s="2" t="s">
        <v>36</v>
      </c>
      <c r="C13" s="2" t="s">
        <v>26</v>
      </c>
      <c r="D13" s="3" t="b">
        <f aca="false">TRUE()</f>
        <v>1</v>
      </c>
      <c r="E13" s="2" t="s">
        <v>23</v>
      </c>
    </row>
    <row r="14" customFormat="false" ht="23.85" hidden="false" customHeight="false" outlineLevel="0" collapsed="false">
      <c r="A14" s="2" t="s">
        <v>37</v>
      </c>
      <c r="B14" s="2" t="s">
        <v>38</v>
      </c>
      <c r="C14" s="2" t="s">
        <v>39</v>
      </c>
      <c r="D14" s="3" t="b">
        <f aca="false">TRUE()</f>
        <v>1</v>
      </c>
      <c r="E14" s="2" t="s">
        <v>8</v>
      </c>
    </row>
    <row r="15" customFormat="false" ht="23.85" hidden="false" customHeight="false" outlineLevel="0" collapsed="false">
      <c r="A15" s="2" t="s">
        <v>40</v>
      </c>
      <c r="B15" s="2" t="s">
        <v>41</v>
      </c>
      <c r="C15" s="2" t="s">
        <v>39</v>
      </c>
      <c r="D15" s="3" t="b">
        <f aca="false">TRUE()</f>
        <v>1</v>
      </c>
      <c r="E15" s="2" t="s">
        <v>11</v>
      </c>
    </row>
    <row r="16" customFormat="false" ht="15" hidden="false" customHeight="false" outlineLevel="0" collapsed="false">
      <c r="A16" s="2" t="s">
        <v>42</v>
      </c>
      <c r="B16" s="2" t="s">
        <v>43</v>
      </c>
      <c r="C16" s="2" t="s">
        <v>39</v>
      </c>
      <c r="D16" s="4" t="b">
        <f aca="false">FALSE()</f>
        <v>0</v>
      </c>
      <c r="E16" s="2" t="s">
        <v>14</v>
      </c>
    </row>
    <row r="17" customFormat="false" ht="23.85" hidden="false" customHeight="false" outlineLevel="0" collapsed="false">
      <c r="A17" s="2" t="s">
        <v>44</v>
      </c>
      <c r="B17" s="2" t="s">
        <v>45</v>
      </c>
      <c r="C17" s="2" t="s">
        <v>39</v>
      </c>
      <c r="D17" s="3" t="b">
        <f aca="false">TRUE()</f>
        <v>1</v>
      </c>
      <c r="E17" s="2" t="s">
        <v>17</v>
      </c>
    </row>
    <row r="18" customFormat="false" ht="23.85" hidden="false" customHeight="false" outlineLevel="0" collapsed="false">
      <c r="A18" s="2" t="s">
        <v>46</v>
      </c>
      <c r="B18" s="2" t="s">
        <v>47</v>
      </c>
      <c r="C18" s="2" t="s">
        <v>39</v>
      </c>
      <c r="D18" s="3" t="b">
        <f aca="false">TRUE()</f>
        <v>1</v>
      </c>
      <c r="E18" s="2" t="s">
        <v>20</v>
      </c>
    </row>
    <row r="19" customFormat="false" ht="15" hidden="false" customHeight="false" outlineLevel="0" collapsed="false">
      <c r="A19" s="2" t="s">
        <v>48</v>
      </c>
      <c r="B19" s="2" t="s">
        <v>49</v>
      </c>
      <c r="C19" s="2" t="s">
        <v>39</v>
      </c>
      <c r="D19" s="4" t="b">
        <f aca="false">FALSE()</f>
        <v>0</v>
      </c>
      <c r="E19" s="2" t="s">
        <v>23</v>
      </c>
    </row>
    <row r="20" customFormat="false" ht="23.85" hidden="false" customHeight="false" outlineLevel="0" collapsed="false">
      <c r="A20" s="2" t="s">
        <v>50</v>
      </c>
      <c r="B20" s="2" t="s">
        <v>51</v>
      </c>
      <c r="C20" s="2" t="s">
        <v>52</v>
      </c>
      <c r="D20" s="3" t="b">
        <f aca="false">TRUE()</f>
        <v>1</v>
      </c>
      <c r="E20" s="2" t="s">
        <v>8</v>
      </c>
    </row>
    <row r="21" customFormat="false" ht="23.85" hidden="false" customHeight="false" outlineLevel="0" collapsed="false">
      <c r="A21" s="2" t="s">
        <v>53</v>
      </c>
      <c r="B21" s="2" t="s">
        <v>54</v>
      </c>
      <c r="C21" s="2" t="s">
        <v>52</v>
      </c>
      <c r="D21" s="3" t="b">
        <f aca="false">TRUE()</f>
        <v>1</v>
      </c>
      <c r="E21" s="2" t="s">
        <v>11</v>
      </c>
    </row>
    <row r="22" customFormat="false" ht="15" hidden="false" customHeight="false" outlineLevel="0" collapsed="false">
      <c r="A22" s="2" t="s">
        <v>55</v>
      </c>
      <c r="B22" s="2" t="s">
        <v>56</v>
      </c>
      <c r="C22" s="2" t="s">
        <v>52</v>
      </c>
      <c r="D22" s="4" t="b">
        <f aca="false">FALSE()</f>
        <v>0</v>
      </c>
      <c r="E22" s="2" t="s">
        <v>14</v>
      </c>
    </row>
    <row r="23" customFormat="false" ht="15" hidden="false" customHeight="false" outlineLevel="0" collapsed="false">
      <c r="A23" s="2" t="s">
        <v>57</v>
      </c>
      <c r="B23" s="2" t="s">
        <v>58</v>
      </c>
      <c r="C23" s="2" t="s">
        <v>52</v>
      </c>
      <c r="D23" s="4" t="b">
        <f aca="false">FALSE()</f>
        <v>0</v>
      </c>
      <c r="E23" s="2" t="s">
        <v>17</v>
      </c>
    </row>
    <row r="24" customFormat="false" ht="15" hidden="false" customHeight="false" outlineLevel="0" collapsed="false">
      <c r="A24" s="2" t="s">
        <v>59</v>
      </c>
      <c r="B24" s="2" t="s">
        <v>60</v>
      </c>
      <c r="C24" s="2" t="s">
        <v>52</v>
      </c>
      <c r="D24" s="3" t="b">
        <f aca="false">TRUE()</f>
        <v>1</v>
      </c>
      <c r="E24" s="2" t="s">
        <v>20</v>
      </c>
    </row>
    <row r="25" customFormat="false" ht="15" hidden="false" customHeight="false" outlineLevel="0" collapsed="false">
      <c r="A25" s="2" t="s">
        <v>61</v>
      </c>
      <c r="B25" s="2" t="s">
        <v>62</v>
      </c>
      <c r="C25" s="2" t="s">
        <v>52</v>
      </c>
      <c r="D25" s="4" t="b">
        <f aca="false">FALSE()</f>
        <v>0</v>
      </c>
      <c r="E25" s="2" t="s">
        <v>23</v>
      </c>
    </row>
    <row r="26" customFormat="false" ht="15" hidden="false" customHeight="false" outlineLevel="0" collapsed="false">
      <c r="A26" s="2" t="s">
        <v>63</v>
      </c>
      <c r="B26" s="2" t="s">
        <v>64</v>
      </c>
      <c r="C26" s="2" t="s">
        <v>65</v>
      </c>
      <c r="D26" s="3" t="b">
        <f aca="false">TRUE()</f>
        <v>1</v>
      </c>
      <c r="E26" s="2" t="s">
        <v>8</v>
      </c>
    </row>
    <row r="27" customFormat="false" ht="23.85" hidden="false" customHeight="false" outlineLevel="0" collapsed="false">
      <c r="A27" s="2" t="s">
        <v>66</v>
      </c>
      <c r="B27" s="2" t="s">
        <v>67</v>
      </c>
      <c r="C27" s="2" t="s">
        <v>65</v>
      </c>
      <c r="D27" s="3" t="b">
        <f aca="false">TRUE()</f>
        <v>1</v>
      </c>
      <c r="E27" s="2" t="s">
        <v>11</v>
      </c>
    </row>
    <row r="28" customFormat="false" ht="15" hidden="false" customHeight="false" outlineLevel="0" collapsed="false">
      <c r="A28" s="2" t="s">
        <v>68</v>
      </c>
      <c r="B28" s="2" t="s">
        <v>69</v>
      </c>
      <c r="C28" s="2" t="s">
        <v>65</v>
      </c>
      <c r="D28" s="4" t="b">
        <f aca="false">FALSE()</f>
        <v>0</v>
      </c>
      <c r="E28" s="2" t="s">
        <v>14</v>
      </c>
    </row>
    <row r="29" customFormat="false" ht="15" hidden="false" customHeight="false" outlineLevel="0" collapsed="false">
      <c r="A29" s="2" t="s">
        <v>70</v>
      </c>
      <c r="B29" s="2" t="s">
        <v>71</v>
      </c>
      <c r="C29" s="2" t="s">
        <v>65</v>
      </c>
      <c r="D29" s="4" t="b">
        <f aca="false">FALSE()</f>
        <v>0</v>
      </c>
      <c r="E29" s="2" t="s">
        <v>17</v>
      </c>
    </row>
    <row r="30" customFormat="false" ht="15" hidden="false" customHeight="false" outlineLevel="0" collapsed="false">
      <c r="A30" s="2" t="s">
        <v>72</v>
      </c>
      <c r="B30" s="2" t="s">
        <v>73</v>
      </c>
      <c r="C30" s="2" t="s">
        <v>65</v>
      </c>
      <c r="D30" s="3" t="b">
        <f aca="false">TRUE()</f>
        <v>1</v>
      </c>
      <c r="E30" s="2" t="s">
        <v>20</v>
      </c>
    </row>
    <row r="31" customFormat="false" ht="15" hidden="false" customHeight="false" outlineLevel="0" collapsed="false">
      <c r="A31" s="2" t="s">
        <v>74</v>
      </c>
      <c r="B31" s="2" t="s">
        <v>75</v>
      </c>
      <c r="C31" s="2" t="s">
        <v>65</v>
      </c>
      <c r="D31" s="4" t="b">
        <f aca="false">FALSE()</f>
        <v>0</v>
      </c>
      <c r="E31" s="2" t="s">
        <v>23</v>
      </c>
    </row>
    <row r="32" customFormat="false" ht="23.85" hidden="false" customHeight="false" outlineLevel="0" collapsed="false">
      <c r="A32" s="2" t="s">
        <v>76</v>
      </c>
      <c r="B32" s="2" t="s">
        <v>77</v>
      </c>
      <c r="C32" s="2" t="s">
        <v>78</v>
      </c>
      <c r="D32" s="3" t="b">
        <f aca="false">TRUE()</f>
        <v>1</v>
      </c>
      <c r="E32" s="2" t="s">
        <v>8</v>
      </c>
    </row>
    <row r="33" customFormat="false" ht="15" hidden="false" customHeight="false" outlineLevel="0" collapsed="false">
      <c r="A33" s="2" t="s">
        <v>79</v>
      </c>
      <c r="B33" s="2" t="s">
        <v>80</v>
      </c>
      <c r="C33" s="2" t="s">
        <v>78</v>
      </c>
      <c r="D33" s="3" t="b">
        <f aca="false">TRUE()</f>
        <v>1</v>
      </c>
      <c r="E33" s="2" t="s">
        <v>11</v>
      </c>
    </row>
    <row r="34" customFormat="false" ht="23.85" hidden="false" customHeight="false" outlineLevel="0" collapsed="false">
      <c r="A34" s="2" t="s">
        <v>81</v>
      </c>
      <c r="B34" s="2" t="s">
        <v>82</v>
      </c>
      <c r="C34" s="2" t="s">
        <v>78</v>
      </c>
      <c r="D34" s="3" t="b">
        <f aca="false">TRUE()</f>
        <v>1</v>
      </c>
      <c r="E34" s="2" t="s">
        <v>14</v>
      </c>
    </row>
    <row r="35" customFormat="false" ht="23.85" hidden="false" customHeight="false" outlineLevel="0" collapsed="false">
      <c r="A35" s="2" t="s">
        <v>83</v>
      </c>
      <c r="B35" s="2" t="s">
        <v>84</v>
      </c>
      <c r="C35" s="2" t="s">
        <v>78</v>
      </c>
      <c r="D35" s="3" t="b">
        <f aca="false">TRUE()</f>
        <v>1</v>
      </c>
      <c r="E35" s="2" t="s">
        <v>17</v>
      </c>
    </row>
    <row r="36" customFormat="false" ht="15" hidden="false" customHeight="false" outlineLevel="0" collapsed="false">
      <c r="A36" s="2" t="s">
        <v>85</v>
      </c>
      <c r="B36" s="2" t="s">
        <v>86</v>
      </c>
      <c r="C36" s="2" t="s">
        <v>78</v>
      </c>
      <c r="D36" s="3" t="b">
        <f aca="false">TRUE()</f>
        <v>1</v>
      </c>
      <c r="E36" s="2" t="s">
        <v>20</v>
      </c>
    </row>
    <row r="37" customFormat="false" ht="23.85" hidden="false" customHeight="false" outlineLevel="0" collapsed="false">
      <c r="A37" s="2" t="s">
        <v>87</v>
      </c>
      <c r="B37" s="2" t="s">
        <v>88</v>
      </c>
      <c r="C37" s="2" t="s">
        <v>78</v>
      </c>
      <c r="D37" s="3" t="b">
        <f aca="false">TRUE()</f>
        <v>1</v>
      </c>
      <c r="E37" s="2" t="s">
        <v>23</v>
      </c>
    </row>
    <row r="38" customFormat="false" ht="23.85" hidden="false" customHeight="false" outlineLevel="0" collapsed="false">
      <c r="A38" s="2" t="s">
        <v>89</v>
      </c>
      <c r="B38" s="2" t="s">
        <v>90</v>
      </c>
      <c r="C38" s="2" t="s">
        <v>91</v>
      </c>
      <c r="D38" s="3" t="b">
        <f aca="false">TRUE()</f>
        <v>1</v>
      </c>
      <c r="E38" s="2" t="s">
        <v>8</v>
      </c>
    </row>
    <row r="39" customFormat="false" ht="23.85" hidden="false" customHeight="false" outlineLevel="0" collapsed="false">
      <c r="A39" s="2" t="s">
        <v>92</v>
      </c>
      <c r="B39" s="2" t="s">
        <v>93</v>
      </c>
      <c r="C39" s="2" t="s">
        <v>91</v>
      </c>
      <c r="D39" s="3" t="b">
        <f aca="false">TRUE()</f>
        <v>1</v>
      </c>
      <c r="E39" s="2" t="s">
        <v>11</v>
      </c>
    </row>
    <row r="40" customFormat="false" ht="15" hidden="false" customHeight="false" outlineLevel="0" collapsed="false">
      <c r="A40" s="2" t="s">
        <v>94</v>
      </c>
      <c r="B40" s="2" t="s">
        <v>95</v>
      </c>
      <c r="C40" s="2" t="s">
        <v>91</v>
      </c>
      <c r="D40" s="4" t="b">
        <f aca="false">FALSE()</f>
        <v>0</v>
      </c>
      <c r="E40" s="2" t="s">
        <v>14</v>
      </c>
    </row>
    <row r="41" customFormat="false" ht="15" hidden="false" customHeight="false" outlineLevel="0" collapsed="false">
      <c r="A41" s="2" t="s">
        <v>96</v>
      </c>
      <c r="B41" s="2" t="s">
        <v>97</v>
      </c>
      <c r="C41" s="2" t="s">
        <v>91</v>
      </c>
      <c r="D41" s="4" t="b">
        <f aca="false">FALSE()</f>
        <v>0</v>
      </c>
      <c r="E41" s="2" t="s">
        <v>17</v>
      </c>
    </row>
    <row r="42" customFormat="false" ht="23.85" hidden="false" customHeight="false" outlineLevel="0" collapsed="false">
      <c r="A42" s="2" t="s">
        <v>98</v>
      </c>
      <c r="B42" s="2" t="s">
        <v>99</v>
      </c>
      <c r="C42" s="2" t="s">
        <v>91</v>
      </c>
      <c r="D42" s="3" t="b">
        <f aca="false">TRUE()</f>
        <v>1</v>
      </c>
      <c r="E42" s="2" t="s">
        <v>20</v>
      </c>
    </row>
    <row r="43" customFormat="false" ht="23.85" hidden="false" customHeight="false" outlineLevel="0" collapsed="false">
      <c r="A43" s="2" t="s">
        <v>100</v>
      </c>
      <c r="B43" s="2" t="s">
        <v>101</v>
      </c>
      <c r="C43" s="2" t="s">
        <v>91</v>
      </c>
      <c r="D43" s="3" t="b">
        <f aca="false">TRUE()</f>
        <v>1</v>
      </c>
      <c r="E43" s="2" t="s">
        <v>23</v>
      </c>
    </row>
    <row r="44" customFormat="false" ht="15" hidden="false" customHeight="false" outlineLevel="0" collapsed="false">
      <c r="A44" s="2" t="s">
        <v>102</v>
      </c>
      <c r="B44" s="2" t="s">
        <v>103</v>
      </c>
      <c r="C44" s="2" t="s">
        <v>104</v>
      </c>
      <c r="D44" s="4" t="b">
        <f aca="false">FALSE()</f>
        <v>0</v>
      </c>
      <c r="E44" s="2" t="s">
        <v>8</v>
      </c>
    </row>
    <row r="45" customFormat="false" ht="23.85" hidden="false" customHeight="false" outlineLevel="0" collapsed="false">
      <c r="A45" s="2" t="s">
        <v>105</v>
      </c>
      <c r="B45" s="2" t="s">
        <v>106</v>
      </c>
      <c r="C45" s="2" t="s">
        <v>104</v>
      </c>
      <c r="D45" s="3" t="b">
        <f aca="false">TRUE()</f>
        <v>1</v>
      </c>
      <c r="E45" s="2" t="s">
        <v>11</v>
      </c>
    </row>
    <row r="46" customFormat="false" ht="15" hidden="false" customHeight="false" outlineLevel="0" collapsed="false">
      <c r="A46" s="2" t="s">
        <v>107</v>
      </c>
      <c r="B46" s="2" t="s">
        <v>108</v>
      </c>
      <c r="C46" s="2" t="s">
        <v>104</v>
      </c>
      <c r="D46" s="4" t="b">
        <f aca="false">FALSE()</f>
        <v>0</v>
      </c>
      <c r="E46" s="2" t="s">
        <v>14</v>
      </c>
    </row>
    <row r="47" customFormat="false" ht="15" hidden="false" customHeight="false" outlineLevel="0" collapsed="false">
      <c r="A47" s="2" t="s">
        <v>109</v>
      </c>
      <c r="B47" s="2" t="s">
        <v>110</v>
      </c>
      <c r="C47" s="2" t="s">
        <v>104</v>
      </c>
      <c r="D47" s="4" t="b">
        <f aca="false">FALSE()</f>
        <v>0</v>
      </c>
      <c r="E47" s="2" t="s">
        <v>17</v>
      </c>
    </row>
    <row r="48" customFormat="false" ht="15" hidden="false" customHeight="false" outlineLevel="0" collapsed="false">
      <c r="A48" s="2" t="s">
        <v>111</v>
      </c>
      <c r="B48" s="2" t="s">
        <v>112</v>
      </c>
      <c r="C48" s="2" t="s">
        <v>104</v>
      </c>
      <c r="D48" s="3" t="b">
        <f aca="false">TRUE()</f>
        <v>1</v>
      </c>
      <c r="E48" s="2" t="s">
        <v>20</v>
      </c>
    </row>
    <row r="49" customFormat="false" ht="15" hidden="false" customHeight="false" outlineLevel="0" collapsed="false">
      <c r="A49" s="2" t="s">
        <v>113</v>
      </c>
      <c r="B49" s="2" t="s">
        <v>114</v>
      </c>
      <c r="C49" s="2" t="s">
        <v>104</v>
      </c>
      <c r="D49" s="4" t="b">
        <f aca="false">FALSE()</f>
        <v>0</v>
      </c>
      <c r="E49" s="2" t="s">
        <v>23</v>
      </c>
    </row>
    <row r="50" customFormat="false" ht="15" hidden="false" customHeight="false" outlineLevel="0" collapsed="false">
      <c r="A50" s="2" t="s">
        <v>115</v>
      </c>
      <c r="B50" s="2" t="s">
        <v>116</v>
      </c>
      <c r="C50" s="2" t="s">
        <v>117</v>
      </c>
      <c r="D50" s="4" t="b">
        <f aca="false">FALSE()</f>
        <v>0</v>
      </c>
      <c r="E50" s="2" t="s">
        <v>8</v>
      </c>
    </row>
    <row r="51" customFormat="false" ht="23.85" hidden="false" customHeight="false" outlineLevel="0" collapsed="false">
      <c r="A51" s="2" t="s">
        <v>118</v>
      </c>
      <c r="B51" s="2" t="s">
        <v>119</v>
      </c>
      <c r="C51" s="2" t="s">
        <v>117</v>
      </c>
      <c r="D51" s="3" t="b">
        <f aca="false">TRUE()</f>
        <v>1</v>
      </c>
      <c r="E51" s="2" t="s">
        <v>11</v>
      </c>
    </row>
    <row r="52" customFormat="false" ht="15" hidden="false" customHeight="false" outlineLevel="0" collapsed="false">
      <c r="A52" s="2" t="s">
        <v>120</v>
      </c>
      <c r="B52" s="2" t="s">
        <v>121</v>
      </c>
      <c r="C52" s="2" t="s">
        <v>117</v>
      </c>
      <c r="D52" s="4" t="b">
        <f aca="false">FALSE()</f>
        <v>0</v>
      </c>
      <c r="E52" s="2" t="s">
        <v>14</v>
      </c>
    </row>
    <row r="53" customFormat="false" ht="15" hidden="false" customHeight="false" outlineLevel="0" collapsed="false">
      <c r="A53" s="2" t="s">
        <v>122</v>
      </c>
      <c r="B53" s="2" t="s">
        <v>123</v>
      </c>
      <c r="C53" s="2" t="s">
        <v>117</v>
      </c>
      <c r="D53" s="4" t="b">
        <f aca="false">FALSE()</f>
        <v>0</v>
      </c>
      <c r="E53" s="2" t="s">
        <v>17</v>
      </c>
    </row>
    <row r="54" customFormat="false" ht="15" hidden="false" customHeight="false" outlineLevel="0" collapsed="false">
      <c r="A54" s="2" t="s">
        <v>124</v>
      </c>
      <c r="B54" s="2" t="s">
        <v>125</v>
      </c>
      <c r="C54" s="2" t="s">
        <v>117</v>
      </c>
      <c r="D54" s="3" t="b">
        <f aca="false">TRUE()</f>
        <v>1</v>
      </c>
      <c r="E54" s="2" t="s">
        <v>20</v>
      </c>
    </row>
    <row r="55" customFormat="false" ht="15" hidden="false" customHeight="false" outlineLevel="0" collapsed="false">
      <c r="A55" s="2" t="s">
        <v>126</v>
      </c>
      <c r="B55" s="2" t="s">
        <v>127</v>
      </c>
      <c r="C55" s="2" t="s">
        <v>117</v>
      </c>
      <c r="D55" s="4" t="b">
        <f aca="false">FALSE()</f>
        <v>0</v>
      </c>
      <c r="E55" s="2" t="s">
        <v>23</v>
      </c>
    </row>
    <row r="56" customFormat="false" ht="15" hidden="false" customHeight="false" outlineLevel="0" collapsed="false">
      <c r="A56" s="2" t="s">
        <v>128</v>
      </c>
      <c r="B56" s="2" t="s">
        <v>129</v>
      </c>
      <c r="C56" s="2" t="s">
        <v>130</v>
      </c>
      <c r="D56" s="4" t="b">
        <f aca="false">FALSE()</f>
        <v>0</v>
      </c>
      <c r="E56" s="2" t="s">
        <v>8</v>
      </c>
    </row>
    <row r="57" customFormat="false" ht="23.85" hidden="false" customHeight="false" outlineLevel="0" collapsed="false">
      <c r="A57" s="2" t="s">
        <v>131</v>
      </c>
      <c r="B57" s="2" t="s">
        <v>132</v>
      </c>
      <c r="C57" s="2" t="s">
        <v>130</v>
      </c>
      <c r="D57" s="3" t="b">
        <f aca="false">TRUE()</f>
        <v>1</v>
      </c>
      <c r="E57" s="2" t="s">
        <v>11</v>
      </c>
    </row>
    <row r="58" customFormat="false" ht="15" hidden="false" customHeight="false" outlineLevel="0" collapsed="false">
      <c r="A58" s="2" t="s">
        <v>133</v>
      </c>
      <c r="B58" s="2" t="s">
        <v>134</v>
      </c>
      <c r="C58" s="2" t="s">
        <v>130</v>
      </c>
      <c r="D58" s="3" t="b">
        <f aca="false">TRUE()</f>
        <v>1</v>
      </c>
      <c r="E58" s="2" t="s">
        <v>14</v>
      </c>
    </row>
    <row r="59" customFormat="false" ht="15" hidden="false" customHeight="false" outlineLevel="0" collapsed="false">
      <c r="A59" s="2" t="s">
        <v>135</v>
      </c>
      <c r="B59" s="2" t="s">
        <v>136</v>
      </c>
      <c r="C59" s="2" t="s">
        <v>130</v>
      </c>
      <c r="D59" s="4" t="b">
        <f aca="false">FALSE()</f>
        <v>0</v>
      </c>
      <c r="E59" s="2" t="s">
        <v>17</v>
      </c>
    </row>
    <row r="60" customFormat="false" ht="15" hidden="false" customHeight="false" outlineLevel="0" collapsed="false">
      <c r="A60" s="2" t="s">
        <v>137</v>
      </c>
      <c r="B60" s="2" t="s">
        <v>138</v>
      </c>
      <c r="C60" s="2" t="s">
        <v>130</v>
      </c>
      <c r="D60" s="3" t="b">
        <f aca="false">TRUE()</f>
        <v>1</v>
      </c>
      <c r="E60" s="2" t="s">
        <v>20</v>
      </c>
    </row>
    <row r="61" customFormat="false" ht="15" hidden="false" customHeight="false" outlineLevel="0" collapsed="false">
      <c r="A61" s="2" t="s">
        <v>139</v>
      </c>
      <c r="B61" s="2" t="s">
        <v>140</v>
      </c>
      <c r="C61" s="2" t="s">
        <v>130</v>
      </c>
      <c r="D61" s="4" t="b">
        <f aca="false">FALSE()</f>
        <v>0</v>
      </c>
      <c r="E61" s="2" t="s">
        <v>23</v>
      </c>
    </row>
    <row r="62" customFormat="false" ht="15" hidden="false" customHeight="false" outlineLevel="0" collapsed="false">
      <c r="A62" s="2" t="s">
        <v>141</v>
      </c>
      <c r="B62" s="2" t="s">
        <v>142</v>
      </c>
      <c r="C62" s="2" t="s">
        <v>143</v>
      </c>
      <c r="D62" s="3" t="b">
        <f aca="false">TRUE()</f>
        <v>1</v>
      </c>
      <c r="E62" s="2" t="s">
        <v>8</v>
      </c>
    </row>
    <row r="63" customFormat="false" ht="23.85" hidden="false" customHeight="false" outlineLevel="0" collapsed="false">
      <c r="A63" s="2" t="s">
        <v>144</v>
      </c>
      <c r="B63" s="2" t="s">
        <v>145</v>
      </c>
      <c r="C63" s="2" t="s">
        <v>143</v>
      </c>
      <c r="D63" s="3" t="b">
        <f aca="false">TRUE()</f>
        <v>1</v>
      </c>
      <c r="E63" s="2" t="s">
        <v>11</v>
      </c>
    </row>
    <row r="64" customFormat="false" ht="15" hidden="false" customHeight="false" outlineLevel="0" collapsed="false">
      <c r="A64" s="2" t="s">
        <v>146</v>
      </c>
      <c r="B64" s="2" t="s">
        <v>147</v>
      </c>
      <c r="C64" s="2" t="s">
        <v>143</v>
      </c>
      <c r="D64" s="4" t="b">
        <f aca="false">FALSE()</f>
        <v>0</v>
      </c>
      <c r="E64" s="2" t="s">
        <v>14</v>
      </c>
    </row>
    <row r="65" customFormat="false" ht="23.85" hidden="false" customHeight="false" outlineLevel="0" collapsed="false">
      <c r="A65" s="2" t="s">
        <v>148</v>
      </c>
      <c r="B65" s="2" t="s">
        <v>149</v>
      </c>
      <c r="C65" s="2" t="s">
        <v>143</v>
      </c>
      <c r="D65" s="3" t="b">
        <f aca="false">TRUE()</f>
        <v>1</v>
      </c>
      <c r="E65" s="2" t="s">
        <v>17</v>
      </c>
    </row>
    <row r="66" customFormat="false" ht="23.85" hidden="false" customHeight="false" outlineLevel="0" collapsed="false">
      <c r="A66" s="2" t="s">
        <v>150</v>
      </c>
      <c r="B66" s="2" t="s">
        <v>151</v>
      </c>
      <c r="C66" s="2" t="s">
        <v>143</v>
      </c>
      <c r="D66" s="3" t="b">
        <f aca="false">TRUE()</f>
        <v>1</v>
      </c>
      <c r="E66" s="2" t="s">
        <v>20</v>
      </c>
    </row>
    <row r="67" customFormat="false" ht="15" hidden="false" customHeight="false" outlineLevel="0" collapsed="false">
      <c r="A67" s="2" t="s">
        <v>152</v>
      </c>
      <c r="B67" s="2" t="s">
        <v>153</v>
      </c>
      <c r="C67" s="2" t="s">
        <v>143</v>
      </c>
      <c r="D67" s="4" t="b">
        <f aca="false">FALSE()</f>
        <v>0</v>
      </c>
      <c r="E67" s="2" t="s">
        <v>23</v>
      </c>
    </row>
    <row r="68" customFormat="false" ht="23.85" hidden="false" customHeight="false" outlineLevel="0" collapsed="false">
      <c r="A68" s="2" t="s">
        <v>154</v>
      </c>
      <c r="B68" s="2" t="s">
        <v>155</v>
      </c>
      <c r="C68" s="2" t="s">
        <v>156</v>
      </c>
      <c r="D68" s="3" t="b">
        <f aca="false">TRUE()</f>
        <v>1</v>
      </c>
      <c r="E68" s="2" t="s">
        <v>8</v>
      </c>
    </row>
    <row r="69" customFormat="false" ht="15" hidden="false" customHeight="false" outlineLevel="0" collapsed="false">
      <c r="A69" s="2" t="s">
        <v>157</v>
      </c>
      <c r="B69" s="2" t="s">
        <v>158</v>
      </c>
      <c r="C69" s="2" t="s">
        <v>156</v>
      </c>
      <c r="D69" s="3" t="b">
        <f aca="false">TRUE()</f>
        <v>1</v>
      </c>
      <c r="E69" s="2" t="s">
        <v>11</v>
      </c>
    </row>
    <row r="70" customFormat="false" ht="15" hidden="false" customHeight="false" outlineLevel="0" collapsed="false">
      <c r="A70" s="2" t="s">
        <v>159</v>
      </c>
      <c r="B70" s="2" t="s">
        <v>160</v>
      </c>
      <c r="C70" s="2" t="s">
        <v>156</v>
      </c>
      <c r="D70" s="4" t="b">
        <f aca="false">FALSE()</f>
        <v>0</v>
      </c>
      <c r="E70" s="2" t="s">
        <v>14</v>
      </c>
    </row>
    <row r="71" customFormat="false" ht="23.85" hidden="false" customHeight="false" outlineLevel="0" collapsed="false">
      <c r="A71" s="2" t="s">
        <v>161</v>
      </c>
      <c r="B71" s="2" t="s">
        <v>162</v>
      </c>
      <c r="C71" s="2" t="s">
        <v>156</v>
      </c>
      <c r="D71" s="3" t="b">
        <f aca="false">TRUE()</f>
        <v>1</v>
      </c>
      <c r="E71" s="2" t="s">
        <v>17</v>
      </c>
    </row>
    <row r="72" customFormat="false" ht="23.85" hidden="false" customHeight="false" outlineLevel="0" collapsed="false">
      <c r="A72" s="2" t="s">
        <v>163</v>
      </c>
      <c r="B72" s="2" t="s">
        <v>164</v>
      </c>
      <c r="C72" s="2" t="s">
        <v>156</v>
      </c>
      <c r="D72" s="3" t="b">
        <f aca="false">TRUE()</f>
        <v>1</v>
      </c>
      <c r="E72" s="2" t="s">
        <v>20</v>
      </c>
    </row>
    <row r="73" customFormat="false" ht="15" hidden="false" customHeight="false" outlineLevel="0" collapsed="false">
      <c r="A73" s="2" t="s">
        <v>165</v>
      </c>
      <c r="B73" s="2" t="s">
        <v>166</v>
      </c>
      <c r="C73" s="2" t="s">
        <v>156</v>
      </c>
      <c r="D73" s="4" t="b">
        <f aca="false">FALSE()</f>
        <v>0</v>
      </c>
      <c r="E73" s="2" t="s">
        <v>23</v>
      </c>
    </row>
    <row r="74" customFormat="false" ht="15" hidden="false" customHeight="false" outlineLevel="0" collapsed="false">
      <c r="A74" s="2" t="s">
        <v>167</v>
      </c>
      <c r="B74" s="2" t="s">
        <v>168</v>
      </c>
      <c r="C74" s="2" t="s">
        <v>169</v>
      </c>
      <c r="D74" s="3" t="b">
        <f aca="false">TRUE()</f>
        <v>1</v>
      </c>
      <c r="E74" s="2" t="s">
        <v>8</v>
      </c>
    </row>
    <row r="75" customFormat="false" ht="23.85" hidden="false" customHeight="false" outlineLevel="0" collapsed="false">
      <c r="A75" s="2" t="s">
        <v>170</v>
      </c>
      <c r="B75" s="2" t="s">
        <v>171</v>
      </c>
      <c r="C75" s="2" t="s">
        <v>169</v>
      </c>
      <c r="D75" s="3" t="b">
        <f aca="false">TRUE()</f>
        <v>1</v>
      </c>
      <c r="E75" s="2" t="s">
        <v>11</v>
      </c>
    </row>
    <row r="76" customFormat="false" ht="15" hidden="false" customHeight="false" outlineLevel="0" collapsed="false">
      <c r="A76" s="2" t="s">
        <v>172</v>
      </c>
      <c r="B76" s="2" t="s">
        <v>173</v>
      </c>
      <c r="C76" s="2" t="s">
        <v>169</v>
      </c>
      <c r="D76" s="4" t="b">
        <f aca="false">FALSE()</f>
        <v>0</v>
      </c>
      <c r="E76" s="2" t="s">
        <v>14</v>
      </c>
    </row>
    <row r="77" customFormat="false" ht="23.85" hidden="false" customHeight="false" outlineLevel="0" collapsed="false">
      <c r="A77" s="2" t="s">
        <v>174</v>
      </c>
      <c r="B77" s="2" t="s">
        <v>175</v>
      </c>
      <c r="C77" s="2" t="s">
        <v>169</v>
      </c>
      <c r="D77" s="3" t="b">
        <f aca="false">TRUE()</f>
        <v>1</v>
      </c>
      <c r="E77" s="2" t="s">
        <v>17</v>
      </c>
    </row>
    <row r="78" customFormat="false" ht="15" hidden="false" customHeight="false" outlineLevel="0" collapsed="false">
      <c r="A78" s="2" t="s">
        <v>176</v>
      </c>
      <c r="B78" s="2" t="s">
        <v>177</v>
      </c>
      <c r="C78" s="2" t="s">
        <v>169</v>
      </c>
      <c r="D78" s="3" t="b">
        <f aca="false">TRUE()</f>
        <v>1</v>
      </c>
      <c r="E78" s="2" t="s">
        <v>20</v>
      </c>
    </row>
    <row r="79" customFormat="false" ht="15" hidden="false" customHeight="false" outlineLevel="0" collapsed="false">
      <c r="A79" s="2" t="s">
        <v>178</v>
      </c>
      <c r="B79" s="2" t="s">
        <v>179</v>
      </c>
      <c r="C79" s="2" t="s">
        <v>169</v>
      </c>
      <c r="D79" s="4" t="b">
        <f aca="false">FALSE()</f>
        <v>0</v>
      </c>
      <c r="E79" s="2" t="s">
        <v>23</v>
      </c>
    </row>
    <row r="80" customFormat="false" ht="15" hidden="false" customHeight="false" outlineLevel="0" collapsed="false">
      <c r="A80" s="2" t="s">
        <v>180</v>
      </c>
      <c r="B80" s="2" t="s">
        <v>181</v>
      </c>
      <c r="C80" s="2" t="s">
        <v>182</v>
      </c>
      <c r="D80" s="3" t="b">
        <f aca="false">TRUE()</f>
        <v>1</v>
      </c>
      <c r="E80" s="2" t="s">
        <v>8</v>
      </c>
    </row>
    <row r="81" customFormat="false" ht="15" hidden="false" customHeight="false" outlineLevel="0" collapsed="false">
      <c r="A81" s="2" t="s">
        <v>183</v>
      </c>
      <c r="B81" s="2" t="s">
        <v>184</v>
      </c>
      <c r="C81" s="2" t="s">
        <v>182</v>
      </c>
      <c r="D81" s="3" t="b">
        <f aca="false">TRUE()</f>
        <v>1</v>
      </c>
      <c r="E81" s="2" t="s">
        <v>11</v>
      </c>
    </row>
    <row r="82" customFormat="false" ht="15" hidden="false" customHeight="false" outlineLevel="0" collapsed="false">
      <c r="A82" s="2" t="s">
        <v>185</v>
      </c>
      <c r="B82" s="2" t="s">
        <v>186</v>
      </c>
      <c r="C82" s="2" t="s">
        <v>182</v>
      </c>
      <c r="D82" s="4" t="b">
        <f aca="false">FALSE()</f>
        <v>0</v>
      </c>
      <c r="E82" s="2" t="s">
        <v>14</v>
      </c>
    </row>
    <row r="83" customFormat="false" ht="15" hidden="false" customHeight="false" outlineLevel="0" collapsed="false">
      <c r="A83" s="2" t="s">
        <v>187</v>
      </c>
      <c r="B83" s="2" t="s">
        <v>188</v>
      </c>
      <c r="C83" s="2" t="s">
        <v>182</v>
      </c>
      <c r="D83" s="4" t="b">
        <f aca="false">FALSE()</f>
        <v>0</v>
      </c>
      <c r="E83" s="2" t="s">
        <v>17</v>
      </c>
    </row>
    <row r="84" customFormat="false" ht="15" hidden="false" customHeight="false" outlineLevel="0" collapsed="false">
      <c r="A84" s="2" t="s">
        <v>189</v>
      </c>
      <c r="B84" s="2" t="s">
        <v>190</v>
      </c>
      <c r="C84" s="2" t="s">
        <v>182</v>
      </c>
      <c r="D84" s="3" t="b">
        <f aca="false">TRUE()</f>
        <v>1</v>
      </c>
      <c r="E84" s="2" t="s">
        <v>20</v>
      </c>
    </row>
    <row r="85" customFormat="false" ht="15" hidden="false" customHeight="false" outlineLevel="0" collapsed="false">
      <c r="A85" s="2" t="s">
        <v>191</v>
      </c>
      <c r="B85" s="2" t="s">
        <v>192</v>
      </c>
      <c r="C85" s="2" t="s">
        <v>182</v>
      </c>
      <c r="D85" s="4" t="b">
        <f aca="false">FALSE()</f>
        <v>0</v>
      </c>
      <c r="E85" s="2" t="s">
        <v>23</v>
      </c>
    </row>
    <row r="86" customFormat="false" ht="15" hidden="false" customHeight="false" outlineLevel="0" collapsed="false">
      <c r="A86" s="2" t="s">
        <v>193</v>
      </c>
      <c r="B86" s="2" t="s">
        <v>194</v>
      </c>
      <c r="C86" s="2" t="s">
        <v>195</v>
      </c>
      <c r="D86" s="3" t="b">
        <f aca="false">TRUE()</f>
        <v>1</v>
      </c>
      <c r="E86" s="2" t="s">
        <v>8</v>
      </c>
    </row>
    <row r="87" customFormat="false" ht="15" hidden="false" customHeight="false" outlineLevel="0" collapsed="false">
      <c r="A87" s="2" t="s">
        <v>196</v>
      </c>
      <c r="B87" s="2" t="s">
        <v>197</v>
      </c>
      <c r="C87" s="2" t="s">
        <v>195</v>
      </c>
      <c r="D87" s="3" t="b">
        <f aca="false">TRUE()</f>
        <v>1</v>
      </c>
      <c r="E87" s="2" t="s">
        <v>11</v>
      </c>
    </row>
    <row r="88" customFormat="false" ht="15" hidden="false" customHeight="false" outlineLevel="0" collapsed="false">
      <c r="A88" s="2" t="s">
        <v>198</v>
      </c>
      <c r="B88" s="2" t="s">
        <v>199</v>
      </c>
      <c r="C88" s="2" t="s">
        <v>195</v>
      </c>
      <c r="D88" s="4" t="b">
        <f aca="false">FALSE()</f>
        <v>0</v>
      </c>
      <c r="E88" s="2" t="s">
        <v>14</v>
      </c>
    </row>
    <row r="89" customFormat="false" ht="15" hidden="false" customHeight="false" outlineLevel="0" collapsed="false">
      <c r="A89" s="2" t="s">
        <v>200</v>
      </c>
      <c r="B89" s="2" t="s">
        <v>201</v>
      </c>
      <c r="C89" s="2" t="s">
        <v>195</v>
      </c>
      <c r="D89" s="4" t="b">
        <f aca="false">FALSE()</f>
        <v>0</v>
      </c>
      <c r="E89" s="2" t="s">
        <v>17</v>
      </c>
    </row>
    <row r="90" customFormat="false" ht="15" hidden="false" customHeight="false" outlineLevel="0" collapsed="false">
      <c r="A90" s="2" t="s">
        <v>202</v>
      </c>
      <c r="B90" s="2" t="s">
        <v>203</v>
      </c>
      <c r="C90" s="2" t="s">
        <v>195</v>
      </c>
      <c r="D90" s="3" t="b">
        <f aca="false">TRUE()</f>
        <v>1</v>
      </c>
      <c r="E90" s="2" t="s">
        <v>20</v>
      </c>
    </row>
    <row r="91" customFormat="false" ht="15" hidden="false" customHeight="false" outlineLevel="0" collapsed="false">
      <c r="A91" s="2" t="s">
        <v>204</v>
      </c>
      <c r="B91" s="2" t="s">
        <v>205</v>
      </c>
      <c r="C91" s="2" t="s">
        <v>195</v>
      </c>
      <c r="D91" s="4" t="b">
        <f aca="false">FALSE()</f>
        <v>0</v>
      </c>
      <c r="E91" s="2" t="s">
        <v>23</v>
      </c>
    </row>
    <row r="92" customFormat="false" ht="23.85" hidden="false" customHeight="false" outlineLevel="0" collapsed="false">
      <c r="A92" s="2" t="s">
        <v>206</v>
      </c>
      <c r="B92" s="2" t="s">
        <v>207</v>
      </c>
      <c r="C92" s="2" t="s">
        <v>208</v>
      </c>
      <c r="D92" s="3" t="b">
        <f aca="false">TRUE()</f>
        <v>1</v>
      </c>
      <c r="E92" s="2" t="s">
        <v>8</v>
      </c>
    </row>
    <row r="93" customFormat="false" ht="15" hidden="false" customHeight="false" outlineLevel="0" collapsed="false">
      <c r="A93" s="2" t="s">
        <v>209</v>
      </c>
      <c r="B93" s="2" t="s">
        <v>210</v>
      </c>
      <c r="C93" s="2" t="s">
        <v>208</v>
      </c>
      <c r="D93" s="3" t="b">
        <f aca="false">TRUE()</f>
        <v>1</v>
      </c>
      <c r="E93" s="2" t="s">
        <v>11</v>
      </c>
    </row>
    <row r="94" customFormat="false" ht="15" hidden="false" customHeight="false" outlineLevel="0" collapsed="false">
      <c r="A94" s="2" t="s">
        <v>211</v>
      </c>
      <c r="B94" s="2" t="s">
        <v>212</v>
      </c>
      <c r="C94" s="2" t="s">
        <v>208</v>
      </c>
      <c r="D94" s="4" t="b">
        <f aca="false">FALSE()</f>
        <v>0</v>
      </c>
      <c r="E94" s="2" t="s">
        <v>14</v>
      </c>
    </row>
    <row r="95" customFormat="false" ht="15" hidden="false" customHeight="false" outlineLevel="0" collapsed="false">
      <c r="A95" s="2" t="s">
        <v>213</v>
      </c>
      <c r="B95" s="2" t="s">
        <v>214</v>
      </c>
      <c r="C95" s="2" t="s">
        <v>208</v>
      </c>
      <c r="D95" s="3" t="b">
        <f aca="false">TRUE()</f>
        <v>1</v>
      </c>
      <c r="E95" s="2" t="s">
        <v>17</v>
      </c>
    </row>
    <row r="96" customFormat="false" ht="15" hidden="false" customHeight="false" outlineLevel="0" collapsed="false">
      <c r="A96" s="2" t="s">
        <v>215</v>
      </c>
      <c r="B96" s="2" t="s">
        <v>216</v>
      </c>
      <c r="C96" s="2" t="s">
        <v>208</v>
      </c>
      <c r="D96" s="3" t="b">
        <f aca="false">TRUE()</f>
        <v>1</v>
      </c>
      <c r="E96" s="2" t="s">
        <v>20</v>
      </c>
    </row>
    <row r="97" customFormat="false" ht="15" hidden="false" customHeight="false" outlineLevel="0" collapsed="false">
      <c r="A97" s="2" t="s">
        <v>217</v>
      </c>
      <c r="B97" s="2" t="s">
        <v>218</v>
      </c>
      <c r="C97" s="2" t="s">
        <v>208</v>
      </c>
      <c r="D97" s="4" t="b">
        <f aca="false">FALSE()</f>
        <v>0</v>
      </c>
      <c r="E97" s="2" t="s">
        <v>23</v>
      </c>
    </row>
    <row r="98" customFormat="false" ht="15" hidden="false" customHeight="false" outlineLevel="0" collapsed="false">
      <c r="A98" s="2" t="s">
        <v>219</v>
      </c>
      <c r="B98" s="2" t="s">
        <v>220</v>
      </c>
      <c r="C98" s="2" t="s">
        <v>221</v>
      </c>
      <c r="D98" s="3" t="b">
        <f aca="false">TRUE()</f>
        <v>1</v>
      </c>
      <c r="E98" s="2" t="s">
        <v>8</v>
      </c>
    </row>
    <row r="99" customFormat="false" ht="15" hidden="false" customHeight="false" outlineLevel="0" collapsed="false">
      <c r="A99" s="2" t="s">
        <v>222</v>
      </c>
      <c r="B99" s="2" t="s">
        <v>223</v>
      </c>
      <c r="C99" s="2" t="s">
        <v>221</v>
      </c>
      <c r="D99" s="3" t="b">
        <f aca="false">TRUE()</f>
        <v>1</v>
      </c>
      <c r="E99" s="2" t="s">
        <v>11</v>
      </c>
    </row>
    <row r="100" customFormat="false" ht="15" hidden="false" customHeight="false" outlineLevel="0" collapsed="false">
      <c r="A100" s="2" t="s">
        <v>224</v>
      </c>
      <c r="B100" s="2" t="s">
        <v>225</v>
      </c>
      <c r="C100" s="2" t="s">
        <v>221</v>
      </c>
      <c r="D100" s="4" t="b">
        <f aca="false">FALSE()</f>
        <v>0</v>
      </c>
      <c r="E100" s="2" t="s">
        <v>14</v>
      </c>
    </row>
    <row r="101" customFormat="false" ht="15" hidden="false" customHeight="false" outlineLevel="0" collapsed="false">
      <c r="A101" s="2" t="s">
        <v>226</v>
      </c>
      <c r="B101" s="2" t="s">
        <v>227</v>
      </c>
      <c r="C101" s="2" t="s">
        <v>221</v>
      </c>
      <c r="D101" s="4" t="b">
        <f aca="false">FALSE()</f>
        <v>0</v>
      </c>
      <c r="E101" s="2" t="s">
        <v>17</v>
      </c>
    </row>
    <row r="102" customFormat="false" ht="15" hidden="false" customHeight="false" outlineLevel="0" collapsed="false">
      <c r="A102" s="2" t="s">
        <v>228</v>
      </c>
      <c r="B102" s="2" t="s">
        <v>229</v>
      </c>
      <c r="C102" s="2" t="s">
        <v>221</v>
      </c>
      <c r="D102" s="3" t="b">
        <f aca="false">TRUE()</f>
        <v>1</v>
      </c>
      <c r="E102" s="2" t="s">
        <v>20</v>
      </c>
    </row>
    <row r="103" customFormat="false" ht="15" hidden="false" customHeight="false" outlineLevel="0" collapsed="false">
      <c r="A103" s="2" t="s">
        <v>230</v>
      </c>
      <c r="B103" s="2" t="s">
        <v>231</v>
      </c>
      <c r="C103" s="2" t="s">
        <v>221</v>
      </c>
      <c r="D103" s="4" t="b">
        <f aca="false">FALSE()</f>
        <v>0</v>
      </c>
      <c r="E103" s="2" t="s">
        <v>23</v>
      </c>
    </row>
    <row r="104" customFormat="false" ht="15" hidden="false" customHeight="false" outlineLevel="0" collapsed="false">
      <c r="A104" s="2" t="s">
        <v>232</v>
      </c>
      <c r="B104" s="2" t="s">
        <v>233</v>
      </c>
      <c r="C104" s="2" t="s">
        <v>234</v>
      </c>
      <c r="D104" s="3" t="b">
        <f aca="false">TRUE()</f>
        <v>1</v>
      </c>
      <c r="E104" s="2" t="s">
        <v>8</v>
      </c>
    </row>
    <row r="105" customFormat="false" ht="15" hidden="false" customHeight="false" outlineLevel="0" collapsed="false">
      <c r="A105" s="2" t="s">
        <v>235</v>
      </c>
      <c r="B105" s="2" t="s">
        <v>236</v>
      </c>
      <c r="C105" s="2" t="s">
        <v>234</v>
      </c>
      <c r="D105" s="3" t="b">
        <f aca="false">TRUE()</f>
        <v>1</v>
      </c>
      <c r="E105" s="2" t="s">
        <v>11</v>
      </c>
    </row>
    <row r="106" customFormat="false" ht="15" hidden="false" customHeight="false" outlineLevel="0" collapsed="false">
      <c r="A106" s="2" t="s">
        <v>237</v>
      </c>
      <c r="B106" s="2" t="s">
        <v>238</v>
      </c>
      <c r="C106" s="2" t="s">
        <v>234</v>
      </c>
      <c r="D106" s="4" t="b">
        <f aca="false">FALSE()</f>
        <v>0</v>
      </c>
      <c r="E106" s="2" t="s">
        <v>14</v>
      </c>
    </row>
    <row r="107" customFormat="false" ht="15" hidden="false" customHeight="false" outlineLevel="0" collapsed="false">
      <c r="A107" s="2" t="s">
        <v>239</v>
      </c>
      <c r="B107" s="2" t="s">
        <v>240</v>
      </c>
      <c r="C107" s="2" t="s">
        <v>234</v>
      </c>
      <c r="D107" s="4" t="b">
        <f aca="false">FALSE()</f>
        <v>0</v>
      </c>
      <c r="E107" s="2" t="s">
        <v>17</v>
      </c>
    </row>
    <row r="108" customFormat="false" ht="15" hidden="false" customHeight="false" outlineLevel="0" collapsed="false">
      <c r="A108" s="2" t="s">
        <v>241</v>
      </c>
      <c r="B108" s="2" t="s">
        <v>242</v>
      </c>
      <c r="C108" s="2" t="s">
        <v>234</v>
      </c>
      <c r="D108" s="3" t="b">
        <f aca="false">TRUE()</f>
        <v>1</v>
      </c>
      <c r="E108" s="2" t="s">
        <v>20</v>
      </c>
    </row>
    <row r="109" customFormat="false" ht="15" hidden="false" customHeight="false" outlineLevel="0" collapsed="false">
      <c r="A109" s="2" t="s">
        <v>243</v>
      </c>
      <c r="B109" s="2" t="s">
        <v>244</v>
      </c>
      <c r="C109" s="2" t="s">
        <v>234</v>
      </c>
      <c r="D109" s="4" t="b">
        <f aca="false">FALSE()</f>
        <v>0</v>
      </c>
      <c r="E109" s="2" t="s">
        <v>23</v>
      </c>
    </row>
    <row r="110" customFormat="false" ht="15" hidden="false" customHeight="false" outlineLevel="0" collapsed="false">
      <c r="A110" s="2" t="s">
        <v>245</v>
      </c>
      <c r="B110" s="2" t="s">
        <v>246</v>
      </c>
      <c r="C110" s="2" t="s">
        <v>247</v>
      </c>
      <c r="D110" s="3" t="b">
        <f aca="false">TRUE()</f>
        <v>1</v>
      </c>
      <c r="E110" s="2" t="s">
        <v>8</v>
      </c>
    </row>
    <row r="111" customFormat="false" ht="23.85" hidden="false" customHeight="false" outlineLevel="0" collapsed="false">
      <c r="A111" s="2" t="s">
        <v>248</v>
      </c>
      <c r="B111" s="2" t="s">
        <v>249</v>
      </c>
      <c r="C111" s="2" t="s">
        <v>247</v>
      </c>
      <c r="D111" s="3" t="b">
        <f aca="false">TRUE()</f>
        <v>1</v>
      </c>
      <c r="E111" s="2" t="s">
        <v>11</v>
      </c>
    </row>
    <row r="112" customFormat="false" ht="15" hidden="false" customHeight="false" outlineLevel="0" collapsed="false">
      <c r="A112" s="2" t="s">
        <v>250</v>
      </c>
      <c r="B112" s="2" t="s">
        <v>251</v>
      </c>
      <c r="C112" s="2" t="s">
        <v>247</v>
      </c>
      <c r="D112" s="4" t="b">
        <f aca="false">FALSE()</f>
        <v>0</v>
      </c>
      <c r="E112" s="2" t="s">
        <v>14</v>
      </c>
    </row>
    <row r="113" customFormat="false" ht="15" hidden="false" customHeight="false" outlineLevel="0" collapsed="false">
      <c r="A113" s="2" t="s">
        <v>252</v>
      </c>
      <c r="B113" s="2" t="s">
        <v>253</v>
      </c>
      <c r="C113" s="2" t="s">
        <v>247</v>
      </c>
      <c r="D113" s="4" t="b">
        <f aca="false">FALSE()</f>
        <v>0</v>
      </c>
      <c r="E113" s="2" t="s">
        <v>17</v>
      </c>
    </row>
    <row r="114" customFormat="false" ht="15" hidden="false" customHeight="false" outlineLevel="0" collapsed="false">
      <c r="A114" s="2" t="s">
        <v>254</v>
      </c>
      <c r="B114" s="2" t="s">
        <v>255</v>
      </c>
      <c r="C114" s="2" t="s">
        <v>247</v>
      </c>
      <c r="D114" s="3" t="b">
        <f aca="false">TRUE()</f>
        <v>1</v>
      </c>
      <c r="E114" s="2" t="s">
        <v>20</v>
      </c>
    </row>
    <row r="115" customFormat="false" ht="15" hidden="false" customHeight="false" outlineLevel="0" collapsed="false">
      <c r="A115" s="2" t="s">
        <v>256</v>
      </c>
      <c r="B115" s="2" t="s">
        <v>257</v>
      </c>
      <c r="C115" s="2" t="s">
        <v>247</v>
      </c>
      <c r="D115" s="4" t="b">
        <f aca="false">FALSE()</f>
        <v>0</v>
      </c>
      <c r="E115" s="2" t="s">
        <v>23</v>
      </c>
    </row>
  </sheetData>
  <autoFilter ref="A1:E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80"/>
  </cols>
  <sheetData>
    <row r="1" customFormat="false" ht="30" hidden="false" customHeight="true" outlineLevel="0" collapsed="false">
      <c r="A1" s="1" t="s">
        <v>0</v>
      </c>
      <c r="B1" s="1" t="s">
        <v>2</v>
      </c>
      <c r="C1" s="1" t="s">
        <v>258</v>
      </c>
      <c r="D1" s="1" t="s">
        <v>4</v>
      </c>
      <c r="E1" s="1" t="s">
        <v>3</v>
      </c>
      <c r="F1" s="1" t="s">
        <v>259</v>
      </c>
    </row>
    <row r="2" customFormat="false" ht="23.85" hidden="false" customHeight="false" outlineLevel="0" collapsed="false">
      <c r="A2" s="2" t="s">
        <v>5</v>
      </c>
      <c r="B2" s="2" t="s">
        <v>7</v>
      </c>
      <c r="C2" s="2" t="s">
        <v>260</v>
      </c>
      <c r="D2" s="2" t="s">
        <v>8</v>
      </c>
      <c r="E2" s="3" t="b">
        <f aca="false">TRUE()</f>
        <v>1</v>
      </c>
      <c r="F2" s="2" t="s">
        <v>261</v>
      </c>
    </row>
    <row r="3" customFormat="false" ht="15" hidden="false" customHeight="false" outlineLevel="0" collapsed="false">
      <c r="A3" s="2" t="s">
        <v>9</v>
      </c>
      <c r="B3" s="2" t="s">
        <v>7</v>
      </c>
      <c r="C3" s="2" t="s">
        <v>260</v>
      </c>
      <c r="D3" s="2" t="s">
        <v>11</v>
      </c>
      <c r="E3" s="3" t="b">
        <f aca="false">TRUE()</f>
        <v>1</v>
      </c>
      <c r="F3" s="2" t="s">
        <v>262</v>
      </c>
    </row>
    <row r="4" customFormat="false" ht="23.85" hidden="false" customHeight="false" outlineLevel="0" collapsed="false">
      <c r="A4" s="2" t="s">
        <v>12</v>
      </c>
      <c r="B4" s="2" t="s">
        <v>7</v>
      </c>
      <c r="C4" s="2" t="s">
        <v>260</v>
      </c>
      <c r="D4" s="2" t="s">
        <v>14</v>
      </c>
      <c r="E4" s="3" t="b">
        <f aca="false">TRUE()</f>
        <v>1</v>
      </c>
      <c r="F4" s="2" t="s">
        <v>263</v>
      </c>
    </row>
    <row r="5" customFormat="false" ht="23.85" hidden="false" customHeight="false" outlineLevel="0" collapsed="false">
      <c r="A5" s="2" t="s">
        <v>15</v>
      </c>
      <c r="B5" s="2" t="s">
        <v>7</v>
      </c>
      <c r="C5" s="2" t="s">
        <v>260</v>
      </c>
      <c r="D5" s="2" t="s">
        <v>17</v>
      </c>
      <c r="E5" s="3" t="b">
        <f aca="false">TRUE()</f>
        <v>1</v>
      </c>
      <c r="F5" s="2" t="s">
        <v>264</v>
      </c>
    </row>
    <row r="6" customFormat="false" ht="15" hidden="false" customHeight="false" outlineLevel="0" collapsed="false">
      <c r="A6" s="2" t="s">
        <v>18</v>
      </c>
      <c r="B6" s="2" t="s">
        <v>7</v>
      </c>
      <c r="C6" s="2" t="s">
        <v>260</v>
      </c>
      <c r="D6" s="2" t="s">
        <v>20</v>
      </c>
      <c r="E6" s="3" t="b">
        <f aca="false">TRUE()</f>
        <v>1</v>
      </c>
      <c r="F6" s="2" t="s">
        <v>265</v>
      </c>
    </row>
    <row r="7" customFormat="false" ht="15" hidden="false" customHeight="false" outlineLevel="0" collapsed="false">
      <c r="A7" s="2" t="s">
        <v>21</v>
      </c>
      <c r="B7" s="2" t="s">
        <v>7</v>
      </c>
      <c r="C7" s="2" t="s">
        <v>260</v>
      </c>
      <c r="D7" s="2" t="s">
        <v>23</v>
      </c>
      <c r="E7" s="3" t="b">
        <f aca="false">TRUE()</f>
        <v>1</v>
      </c>
      <c r="F7" s="2" t="s">
        <v>266</v>
      </c>
    </row>
    <row r="8" customFormat="false" ht="15" hidden="false" customHeight="false" outlineLevel="0" collapsed="false">
      <c r="A8" s="2" t="s">
        <v>24</v>
      </c>
      <c r="B8" s="2" t="s">
        <v>26</v>
      </c>
      <c r="C8" s="2" t="s">
        <v>267</v>
      </c>
      <c r="D8" s="2" t="s">
        <v>8</v>
      </c>
      <c r="E8" s="3" t="b">
        <f aca="false">TRUE()</f>
        <v>1</v>
      </c>
      <c r="F8" s="2" t="s">
        <v>268</v>
      </c>
    </row>
    <row r="9" customFormat="false" ht="15" hidden="false" customHeight="false" outlineLevel="0" collapsed="false">
      <c r="A9" s="2" t="s">
        <v>27</v>
      </c>
      <c r="B9" s="2" t="s">
        <v>26</v>
      </c>
      <c r="C9" s="2" t="s">
        <v>267</v>
      </c>
      <c r="D9" s="2" t="s">
        <v>11</v>
      </c>
      <c r="E9" s="3" t="b">
        <f aca="false">TRUE()</f>
        <v>1</v>
      </c>
      <c r="F9" s="2" t="s">
        <v>269</v>
      </c>
    </row>
    <row r="10" customFormat="false" ht="23.85" hidden="false" customHeight="false" outlineLevel="0" collapsed="false">
      <c r="A10" s="2" t="s">
        <v>29</v>
      </c>
      <c r="B10" s="2" t="s">
        <v>26</v>
      </c>
      <c r="C10" s="2" t="s">
        <v>267</v>
      </c>
      <c r="D10" s="2" t="s">
        <v>14</v>
      </c>
      <c r="E10" s="4" t="b">
        <f aca="false">FALSE()</f>
        <v>0</v>
      </c>
      <c r="F10" s="2" t="s">
        <v>270</v>
      </c>
    </row>
    <row r="11" customFormat="false" ht="15" hidden="false" customHeight="false" outlineLevel="0" collapsed="false">
      <c r="A11" s="2" t="s">
        <v>31</v>
      </c>
      <c r="B11" s="2" t="s">
        <v>26</v>
      </c>
      <c r="C11" s="2" t="s">
        <v>267</v>
      </c>
      <c r="D11" s="2" t="s">
        <v>17</v>
      </c>
      <c r="E11" s="3" t="b">
        <f aca="false">TRUE()</f>
        <v>1</v>
      </c>
      <c r="F11" s="2" t="s">
        <v>271</v>
      </c>
    </row>
    <row r="12" customFormat="false" ht="15" hidden="false" customHeight="false" outlineLevel="0" collapsed="false">
      <c r="A12" s="2" t="s">
        <v>33</v>
      </c>
      <c r="B12" s="2" t="s">
        <v>26</v>
      </c>
      <c r="C12" s="2" t="s">
        <v>267</v>
      </c>
      <c r="D12" s="2" t="s">
        <v>20</v>
      </c>
      <c r="E12" s="3" t="b">
        <f aca="false">TRUE()</f>
        <v>1</v>
      </c>
      <c r="F12" s="2" t="s">
        <v>272</v>
      </c>
    </row>
    <row r="13" customFormat="false" ht="15" hidden="false" customHeight="false" outlineLevel="0" collapsed="false">
      <c r="A13" s="2" t="s">
        <v>35</v>
      </c>
      <c r="B13" s="2" t="s">
        <v>26</v>
      </c>
      <c r="C13" s="2" t="s">
        <v>267</v>
      </c>
      <c r="D13" s="2" t="s">
        <v>23</v>
      </c>
      <c r="E13" s="3" t="b">
        <f aca="false">TRUE()</f>
        <v>1</v>
      </c>
      <c r="F13" s="2" t="s">
        <v>273</v>
      </c>
    </row>
    <row r="14" customFormat="false" ht="15" hidden="false" customHeight="false" outlineLevel="0" collapsed="false">
      <c r="A14" s="2" t="s">
        <v>37</v>
      </c>
      <c r="B14" s="2" t="s">
        <v>39</v>
      </c>
      <c r="C14" s="2" t="s">
        <v>274</v>
      </c>
      <c r="D14" s="2" t="s">
        <v>8</v>
      </c>
      <c r="E14" s="3" t="b">
        <f aca="false">TRUE()</f>
        <v>1</v>
      </c>
      <c r="F14" s="2" t="s">
        <v>275</v>
      </c>
    </row>
    <row r="15" customFormat="false" ht="15" hidden="false" customHeight="false" outlineLevel="0" collapsed="false">
      <c r="A15" s="2" t="s">
        <v>40</v>
      </c>
      <c r="B15" s="2" t="s">
        <v>39</v>
      </c>
      <c r="C15" s="2" t="s">
        <v>274</v>
      </c>
      <c r="D15" s="2" t="s">
        <v>11</v>
      </c>
      <c r="E15" s="3" t="b">
        <f aca="false">TRUE()</f>
        <v>1</v>
      </c>
      <c r="F15" s="2" t="s">
        <v>276</v>
      </c>
    </row>
    <row r="16" customFormat="false" ht="15" hidden="false" customHeight="false" outlineLevel="0" collapsed="false">
      <c r="A16" s="2" t="s">
        <v>42</v>
      </c>
      <c r="B16" s="2" t="s">
        <v>39</v>
      </c>
      <c r="C16" s="2" t="s">
        <v>274</v>
      </c>
      <c r="D16" s="2" t="s">
        <v>14</v>
      </c>
      <c r="E16" s="4" t="b">
        <f aca="false">FALSE()</f>
        <v>0</v>
      </c>
      <c r="F16" s="2" t="s">
        <v>277</v>
      </c>
    </row>
    <row r="17" customFormat="false" ht="15" hidden="false" customHeight="false" outlineLevel="0" collapsed="false">
      <c r="A17" s="2" t="s">
        <v>44</v>
      </c>
      <c r="B17" s="2" t="s">
        <v>39</v>
      </c>
      <c r="C17" s="2" t="s">
        <v>274</v>
      </c>
      <c r="D17" s="2" t="s">
        <v>17</v>
      </c>
      <c r="E17" s="3" t="b">
        <f aca="false">TRUE()</f>
        <v>1</v>
      </c>
      <c r="F17" s="2" t="s">
        <v>278</v>
      </c>
    </row>
    <row r="18" customFormat="false" ht="15" hidden="false" customHeight="false" outlineLevel="0" collapsed="false">
      <c r="A18" s="2" t="s">
        <v>46</v>
      </c>
      <c r="B18" s="2" t="s">
        <v>39</v>
      </c>
      <c r="C18" s="2" t="s">
        <v>274</v>
      </c>
      <c r="D18" s="2" t="s">
        <v>20</v>
      </c>
      <c r="E18" s="3" t="b">
        <f aca="false">TRUE()</f>
        <v>1</v>
      </c>
      <c r="F18" s="2" t="s">
        <v>279</v>
      </c>
    </row>
    <row r="19" customFormat="false" ht="15" hidden="false" customHeight="false" outlineLevel="0" collapsed="false">
      <c r="A19" s="2" t="s">
        <v>48</v>
      </c>
      <c r="B19" s="2" t="s">
        <v>39</v>
      </c>
      <c r="C19" s="2" t="s">
        <v>274</v>
      </c>
      <c r="D19" s="2" t="s">
        <v>23</v>
      </c>
      <c r="E19" s="4" t="b">
        <f aca="false">FALSE()</f>
        <v>0</v>
      </c>
      <c r="F19" s="2" t="s">
        <v>280</v>
      </c>
    </row>
    <row r="20" customFormat="false" ht="15" hidden="false" customHeight="false" outlineLevel="0" collapsed="false">
      <c r="A20" s="2" t="s">
        <v>50</v>
      </c>
      <c r="B20" s="2" t="s">
        <v>52</v>
      </c>
      <c r="C20" s="2" t="s">
        <v>274</v>
      </c>
      <c r="D20" s="2" t="s">
        <v>8</v>
      </c>
      <c r="E20" s="3" t="b">
        <f aca="false">TRUE()</f>
        <v>1</v>
      </c>
      <c r="F20" s="2" t="s">
        <v>281</v>
      </c>
    </row>
    <row r="21" customFormat="false" ht="15" hidden="false" customHeight="false" outlineLevel="0" collapsed="false">
      <c r="A21" s="2" t="s">
        <v>53</v>
      </c>
      <c r="B21" s="2" t="s">
        <v>52</v>
      </c>
      <c r="C21" s="2" t="s">
        <v>274</v>
      </c>
      <c r="D21" s="2" t="s">
        <v>11</v>
      </c>
      <c r="E21" s="3" t="b">
        <f aca="false">TRUE()</f>
        <v>1</v>
      </c>
      <c r="F21" s="2" t="s">
        <v>282</v>
      </c>
    </row>
    <row r="22" customFormat="false" ht="15" hidden="false" customHeight="false" outlineLevel="0" collapsed="false">
      <c r="A22" s="2" t="s">
        <v>55</v>
      </c>
      <c r="B22" s="2" t="s">
        <v>52</v>
      </c>
      <c r="C22" s="2" t="s">
        <v>274</v>
      </c>
      <c r="D22" s="2" t="s">
        <v>14</v>
      </c>
      <c r="E22" s="4" t="b">
        <f aca="false">FALSE()</f>
        <v>0</v>
      </c>
      <c r="F22" s="2" t="s">
        <v>277</v>
      </c>
    </row>
    <row r="23" customFormat="false" ht="15" hidden="false" customHeight="false" outlineLevel="0" collapsed="false">
      <c r="A23" s="2" t="s">
        <v>57</v>
      </c>
      <c r="B23" s="2" t="s">
        <v>52</v>
      </c>
      <c r="C23" s="2" t="s">
        <v>274</v>
      </c>
      <c r="D23" s="2" t="s">
        <v>17</v>
      </c>
      <c r="E23" s="4" t="b">
        <f aca="false">FALSE()</f>
        <v>0</v>
      </c>
      <c r="F23" s="2" t="s">
        <v>283</v>
      </c>
    </row>
    <row r="24" customFormat="false" ht="15" hidden="false" customHeight="false" outlineLevel="0" collapsed="false">
      <c r="A24" s="2" t="s">
        <v>59</v>
      </c>
      <c r="B24" s="2" t="s">
        <v>52</v>
      </c>
      <c r="C24" s="2" t="s">
        <v>274</v>
      </c>
      <c r="D24" s="2" t="s">
        <v>20</v>
      </c>
      <c r="E24" s="3" t="b">
        <f aca="false">TRUE()</f>
        <v>1</v>
      </c>
      <c r="F24" s="2" t="s">
        <v>284</v>
      </c>
    </row>
    <row r="25" customFormat="false" ht="15" hidden="false" customHeight="false" outlineLevel="0" collapsed="false">
      <c r="A25" s="2" t="s">
        <v>61</v>
      </c>
      <c r="B25" s="2" t="s">
        <v>52</v>
      </c>
      <c r="C25" s="2" t="s">
        <v>274</v>
      </c>
      <c r="D25" s="2" t="s">
        <v>23</v>
      </c>
      <c r="E25" s="4" t="b">
        <f aca="false">FALSE()</f>
        <v>0</v>
      </c>
      <c r="F25" s="2" t="s">
        <v>280</v>
      </c>
    </row>
    <row r="26" customFormat="false" ht="15" hidden="false" customHeight="false" outlineLevel="0" collapsed="false">
      <c r="A26" s="2" t="s">
        <v>63</v>
      </c>
      <c r="B26" s="2" t="s">
        <v>65</v>
      </c>
      <c r="C26" s="2" t="s">
        <v>274</v>
      </c>
      <c r="D26" s="2" t="s">
        <v>8</v>
      </c>
      <c r="E26" s="3" t="b">
        <f aca="false">TRUE()</f>
        <v>1</v>
      </c>
      <c r="F26" s="2" t="s">
        <v>285</v>
      </c>
    </row>
    <row r="27" customFormat="false" ht="15" hidden="false" customHeight="false" outlineLevel="0" collapsed="false">
      <c r="A27" s="2" t="s">
        <v>66</v>
      </c>
      <c r="B27" s="2" t="s">
        <v>65</v>
      </c>
      <c r="C27" s="2" t="s">
        <v>274</v>
      </c>
      <c r="D27" s="2" t="s">
        <v>11</v>
      </c>
      <c r="E27" s="3" t="b">
        <f aca="false">TRUE()</f>
        <v>1</v>
      </c>
      <c r="F27" s="2" t="s">
        <v>286</v>
      </c>
    </row>
    <row r="28" customFormat="false" ht="15" hidden="false" customHeight="false" outlineLevel="0" collapsed="false">
      <c r="A28" s="2" t="s">
        <v>68</v>
      </c>
      <c r="B28" s="2" t="s">
        <v>65</v>
      </c>
      <c r="C28" s="2" t="s">
        <v>274</v>
      </c>
      <c r="D28" s="2" t="s">
        <v>14</v>
      </c>
      <c r="E28" s="4" t="b">
        <f aca="false">FALSE()</f>
        <v>0</v>
      </c>
      <c r="F28" s="2" t="s">
        <v>277</v>
      </c>
    </row>
    <row r="29" customFormat="false" ht="15" hidden="false" customHeight="false" outlineLevel="0" collapsed="false">
      <c r="A29" s="2" t="s">
        <v>70</v>
      </c>
      <c r="B29" s="2" t="s">
        <v>65</v>
      </c>
      <c r="C29" s="2" t="s">
        <v>274</v>
      </c>
      <c r="D29" s="2" t="s">
        <v>17</v>
      </c>
      <c r="E29" s="4" t="b">
        <f aca="false">FALSE()</f>
        <v>0</v>
      </c>
      <c r="F29" s="2" t="s">
        <v>287</v>
      </c>
    </row>
    <row r="30" customFormat="false" ht="15" hidden="false" customHeight="false" outlineLevel="0" collapsed="false">
      <c r="A30" s="2" t="s">
        <v>72</v>
      </c>
      <c r="B30" s="2" t="s">
        <v>65</v>
      </c>
      <c r="C30" s="2" t="s">
        <v>274</v>
      </c>
      <c r="D30" s="2" t="s">
        <v>20</v>
      </c>
      <c r="E30" s="3" t="b">
        <f aca="false">TRUE()</f>
        <v>1</v>
      </c>
      <c r="F30" s="2" t="s">
        <v>288</v>
      </c>
    </row>
    <row r="31" customFormat="false" ht="15" hidden="false" customHeight="false" outlineLevel="0" collapsed="false">
      <c r="A31" s="2" t="s">
        <v>74</v>
      </c>
      <c r="B31" s="2" t="s">
        <v>65</v>
      </c>
      <c r="C31" s="2" t="s">
        <v>274</v>
      </c>
      <c r="D31" s="2" t="s">
        <v>23</v>
      </c>
      <c r="E31" s="4" t="b">
        <f aca="false">FALSE()</f>
        <v>0</v>
      </c>
      <c r="F31" s="2" t="s">
        <v>280</v>
      </c>
    </row>
    <row r="32" customFormat="false" ht="15" hidden="false" customHeight="false" outlineLevel="0" collapsed="false">
      <c r="A32" s="2" t="s">
        <v>76</v>
      </c>
      <c r="B32" s="2" t="s">
        <v>78</v>
      </c>
      <c r="C32" s="2" t="s">
        <v>289</v>
      </c>
      <c r="D32" s="2" t="s">
        <v>8</v>
      </c>
      <c r="E32" s="3" t="b">
        <f aca="false">TRUE()</f>
        <v>1</v>
      </c>
      <c r="F32" s="2" t="s">
        <v>290</v>
      </c>
    </row>
    <row r="33" customFormat="false" ht="15" hidden="false" customHeight="false" outlineLevel="0" collapsed="false">
      <c r="A33" s="2" t="s">
        <v>79</v>
      </c>
      <c r="B33" s="2" t="s">
        <v>78</v>
      </c>
      <c r="C33" s="2" t="s">
        <v>289</v>
      </c>
      <c r="D33" s="2" t="s">
        <v>11</v>
      </c>
      <c r="E33" s="3" t="b">
        <f aca="false">TRUE()</f>
        <v>1</v>
      </c>
      <c r="F33" s="2" t="s">
        <v>291</v>
      </c>
    </row>
    <row r="34" customFormat="false" ht="15" hidden="false" customHeight="false" outlineLevel="0" collapsed="false">
      <c r="A34" s="2" t="s">
        <v>81</v>
      </c>
      <c r="B34" s="2" t="s">
        <v>78</v>
      </c>
      <c r="C34" s="2" t="s">
        <v>289</v>
      </c>
      <c r="D34" s="2" t="s">
        <v>14</v>
      </c>
      <c r="E34" s="3" t="b">
        <f aca="false">TRUE()</f>
        <v>1</v>
      </c>
      <c r="F34" s="2" t="s">
        <v>292</v>
      </c>
    </row>
    <row r="35" customFormat="false" ht="15" hidden="false" customHeight="false" outlineLevel="0" collapsed="false">
      <c r="A35" s="2" t="s">
        <v>83</v>
      </c>
      <c r="B35" s="2" t="s">
        <v>78</v>
      </c>
      <c r="C35" s="2" t="s">
        <v>289</v>
      </c>
      <c r="D35" s="2" t="s">
        <v>17</v>
      </c>
      <c r="E35" s="3" t="b">
        <f aca="false">TRUE()</f>
        <v>1</v>
      </c>
      <c r="F35" s="2" t="s">
        <v>293</v>
      </c>
    </row>
    <row r="36" customFormat="false" ht="15" hidden="false" customHeight="false" outlineLevel="0" collapsed="false">
      <c r="A36" s="2" t="s">
        <v>85</v>
      </c>
      <c r="B36" s="2" t="s">
        <v>78</v>
      </c>
      <c r="C36" s="2" t="s">
        <v>289</v>
      </c>
      <c r="D36" s="2" t="s">
        <v>20</v>
      </c>
      <c r="E36" s="3" t="b">
        <f aca="false">TRUE()</f>
        <v>1</v>
      </c>
      <c r="F36" s="2" t="s">
        <v>294</v>
      </c>
    </row>
    <row r="37" customFormat="false" ht="23.85" hidden="false" customHeight="false" outlineLevel="0" collapsed="false">
      <c r="A37" s="2" t="s">
        <v>87</v>
      </c>
      <c r="B37" s="2" t="s">
        <v>78</v>
      </c>
      <c r="C37" s="2" t="s">
        <v>289</v>
      </c>
      <c r="D37" s="2" t="s">
        <v>23</v>
      </c>
      <c r="E37" s="3" t="b">
        <f aca="false">TRUE()</f>
        <v>1</v>
      </c>
      <c r="F37" s="2" t="s">
        <v>295</v>
      </c>
    </row>
    <row r="38" customFormat="false" ht="15" hidden="false" customHeight="false" outlineLevel="0" collapsed="false">
      <c r="A38" s="2" t="s">
        <v>89</v>
      </c>
      <c r="B38" s="2" t="s">
        <v>91</v>
      </c>
      <c r="C38" s="2" t="s">
        <v>267</v>
      </c>
      <c r="D38" s="2" t="s">
        <v>8</v>
      </c>
      <c r="E38" s="3" t="b">
        <f aca="false">TRUE()</f>
        <v>1</v>
      </c>
      <c r="F38" s="2" t="s">
        <v>296</v>
      </c>
    </row>
    <row r="39" customFormat="false" ht="15" hidden="false" customHeight="false" outlineLevel="0" collapsed="false">
      <c r="A39" s="2" t="s">
        <v>92</v>
      </c>
      <c r="B39" s="2" t="s">
        <v>91</v>
      </c>
      <c r="C39" s="2" t="s">
        <v>267</v>
      </c>
      <c r="D39" s="2" t="s">
        <v>11</v>
      </c>
      <c r="E39" s="3" t="b">
        <f aca="false">TRUE()</f>
        <v>1</v>
      </c>
      <c r="F39" s="2" t="s">
        <v>297</v>
      </c>
    </row>
    <row r="40" customFormat="false" ht="15" hidden="false" customHeight="false" outlineLevel="0" collapsed="false">
      <c r="A40" s="2" t="s">
        <v>94</v>
      </c>
      <c r="B40" s="2" t="s">
        <v>91</v>
      </c>
      <c r="C40" s="2" t="s">
        <v>267</v>
      </c>
      <c r="D40" s="2" t="s">
        <v>14</v>
      </c>
      <c r="E40" s="4" t="b">
        <f aca="false">FALSE()</f>
        <v>0</v>
      </c>
      <c r="F40" s="2" t="s">
        <v>298</v>
      </c>
    </row>
    <row r="41" customFormat="false" ht="15" hidden="false" customHeight="false" outlineLevel="0" collapsed="false">
      <c r="A41" s="2" t="s">
        <v>96</v>
      </c>
      <c r="B41" s="2" t="s">
        <v>91</v>
      </c>
      <c r="C41" s="2" t="s">
        <v>267</v>
      </c>
      <c r="D41" s="2" t="s">
        <v>17</v>
      </c>
      <c r="E41" s="4" t="b">
        <f aca="false">FALSE()</f>
        <v>0</v>
      </c>
      <c r="F41" s="2" t="s">
        <v>299</v>
      </c>
    </row>
    <row r="42" customFormat="false" ht="15" hidden="false" customHeight="false" outlineLevel="0" collapsed="false">
      <c r="A42" s="2" t="s">
        <v>98</v>
      </c>
      <c r="B42" s="2" t="s">
        <v>91</v>
      </c>
      <c r="C42" s="2" t="s">
        <v>267</v>
      </c>
      <c r="D42" s="2" t="s">
        <v>20</v>
      </c>
      <c r="E42" s="3" t="b">
        <f aca="false">TRUE()</f>
        <v>1</v>
      </c>
      <c r="F42" s="2" t="s">
        <v>300</v>
      </c>
    </row>
    <row r="43" customFormat="false" ht="15" hidden="false" customHeight="false" outlineLevel="0" collapsed="false">
      <c r="A43" s="2" t="s">
        <v>100</v>
      </c>
      <c r="B43" s="2" t="s">
        <v>91</v>
      </c>
      <c r="C43" s="2" t="s">
        <v>267</v>
      </c>
      <c r="D43" s="2" t="s">
        <v>23</v>
      </c>
      <c r="E43" s="3" t="b">
        <f aca="false">TRUE()</f>
        <v>1</v>
      </c>
      <c r="F43" s="2" t="s">
        <v>301</v>
      </c>
    </row>
    <row r="44" customFormat="false" ht="23.85" hidden="false" customHeight="false" outlineLevel="0" collapsed="false">
      <c r="A44" s="2" t="s">
        <v>102</v>
      </c>
      <c r="B44" s="2" t="s">
        <v>104</v>
      </c>
      <c r="C44" s="2" t="s">
        <v>302</v>
      </c>
      <c r="D44" s="2" t="s">
        <v>8</v>
      </c>
      <c r="E44" s="4" t="b">
        <f aca="false">FALSE()</f>
        <v>0</v>
      </c>
      <c r="F44" s="2" t="s">
        <v>303</v>
      </c>
    </row>
    <row r="45" customFormat="false" ht="15" hidden="false" customHeight="false" outlineLevel="0" collapsed="false">
      <c r="A45" s="2" t="s">
        <v>105</v>
      </c>
      <c r="B45" s="2" t="s">
        <v>104</v>
      </c>
      <c r="C45" s="2" t="s">
        <v>302</v>
      </c>
      <c r="D45" s="2" t="s">
        <v>11</v>
      </c>
      <c r="E45" s="3" t="b">
        <f aca="false">TRUE()</f>
        <v>1</v>
      </c>
      <c r="F45" s="2" t="s">
        <v>304</v>
      </c>
    </row>
    <row r="46" customFormat="false" ht="15" hidden="false" customHeight="false" outlineLevel="0" collapsed="false">
      <c r="A46" s="2" t="s">
        <v>107</v>
      </c>
      <c r="B46" s="2" t="s">
        <v>104</v>
      </c>
      <c r="C46" s="2" t="s">
        <v>302</v>
      </c>
      <c r="D46" s="2" t="s">
        <v>14</v>
      </c>
      <c r="E46" s="4" t="b">
        <f aca="false">FALSE()</f>
        <v>0</v>
      </c>
      <c r="F46" s="2" t="s">
        <v>305</v>
      </c>
    </row>
    <row r="47" customFormat="false" ht="15" hidden="false" customHeight="false" outlineLevel="0" collapsed="false">
      <c r="A47" s="2" t="s">
        <v>109</v>
      </c>
      <c r="B47" s="2" t="s">
        <v>104</v>
      </c>
      <c r="C47" s="2" t="s">
        <v>302</v>
      </c>
      <c r="D47" s="2" t="s">
        <v>17</v>
      </c>
      <c r="E47" s="4" t="b">
        <f aca="false">FALSE()</f>
        <v>0</v>
      </c>
      <c r="F47" s="2" t="s">
        <v>306</v>
      </c>
    </row>
    <row r="48" customFormat="false" ht="15" hidden="false" customHeight="false" outlineLevel="0" collapsed="false">
      <c r="A48" s="2" t="s">
        <v>111</v>
      </c>
      <c r="B48" s="2" t="s">
        <v>104</v>
      </c>
      <c r="C48" s="2" t="s">
        <v>302</v>
      </c>
      <c r="D48" s="2" t="s">
        <v>20</v>
      </c>
      <c r="E48" s="3" t="b">
        <f aca="false">TRUE()</f>
        <v>1</v>
      </c>
      <c r="F48" s="2" t="s">
        <v>307</v>
      </c>
    </row>
    <row r="49" customFormat="false" ht="15" hidden="false" customHeight="false" outlineLevel="0" collapsed="false">
      <c r="A49" s="2" t="s">
        <v>113</v>
      </c>
      <c r="B49" s="2" t="s">
        <v>104</v>
      </c>
      <c r="C49" s="2" t="s">
        <v>302</v>
      </c>
      <c r="D49" s="2" t="s">
        <v>23</v>
      </c>
      <c r="E49" s="4" t="b">
        <f aca="false">FALSE()</f>
        <v>0</v>
      </c>
      <c r="F49" s="2" t="s">
        <v>308</v>
      </c>
    </row>
    <row r="50" customFormat="false" ht="23.85" hidden="false" customHeight="false" outlineLevel="0" collapsed="false">
      <c r="A50" s="2" t="s">
        <v>115</v>
      </c>
      <c r="B50" s="2" t="s">
        <v>117</v>
      </c>
      <c r="C50" s="2" t="s">
        <v>302</v>
      </c>
      <c r="D50" s="2" t="s">
        <v>8</v>
      </c>
      <c r="E50" s="4" t="b">
        <f aca="false">FALSE()</f>
        <v>0</v>
      </c>
      <c r="F50" s="2" t="s">
        <v>309</v>
      </c>
    </row>
    <row r="51" customFormat="false" ht="15" hidden="false" customHeight="false" outlineLevel="0" collapsed="false">
      <c r="A51" s="2" t="s">
        <v>118</v>
      </c>
      <c r="B51" s="2" t="s">
        <v>117</v>
      </c>
      <c r="C51" s="2" t="s">
        <v>302</v>
      </c>
      <c r="D51" s="2" t="s">
        <v>11</v>
      </c>
      <c r="E51" s="3" t="b">
        <f aca="false">TRUE()</f>
        <v>1</v>
      </c>
      <c r="F51" s="2" t="s">
        <v>310</v>
      </c>
    </row>
    <row r="52" customFormat="false" ht="15" hidden="false" customHeight="false" outlineLevel="0" collapsed="false">
      <c r="A52" s="2" t="s">
        <v>120</v>
      </c>
      <c r="B52" s="2" t="s">
        <v>117</v>
      </c>
      <c r="C52" s="2" t="s">
        <v>302</v>
      </c>
      <c r="D52" s="2" t="s">
        <v>14</v>
      </c>
      <c r="E52" s="4" t="b">
        <f aca="false">FALSE()</f>
        <v>0</v>
      </c>
      <c r="F52" s="2" t="s">
        <v>305</v>
      </c>
    </row>
    <row r="53" customFormat="false" ht="15" hidden="false" customHeight="false" outlineLevel="0" collapsed="false">
      <c r="A53" s="2" t="s">
        <v>122</v>
      </c>
      <c r="B53" s="2" t="s">
        <v>117</v>
      </c>
      <c r="C53" s="2" t="s">
        <v>302</v>
      </c>
      <c r="D53" s="2" t="s">
        <v>17</v>
      </c>
      <c r="E53" s="4" t="b">
        <f aca="false">FALSE()</f>
        <v>0</v>
      </c>
      <c r="F53" s="2" t="s">
        <v>306</v>
      </c>
    </row>
    <row r="54" customFormat="false" ht="15" hidden="false" customHeight="false" outlineLevel="0" collapsed="false">
      <c r="A54" s="2" t="s">
        <v>124</v>
      </c>
      <c r="B54" s="2" t="s">
        <v>117</v>
      </c>
      <c r="C54" s="2" t="s">
        <v>302</v>
      </c>
      <c r="D54" s="2" t="s">
        <v>20</v>
      </c>
      <c r="E54" s="3" t="b">
        <f aca="false">TRUE()</f>
        <v>1</v>
      </c>
      <c r="F54" s="2" t="s">
        <v>311</v>
      </c>
    </row>
    <row r="55" customFormat="false" ht="15" hidden="false" customHeight="false" outlineLevel="0" collapsed="false">
      <c r="A55" s="2" t="s">
        <v>126</v>
      </c>
      <c r="B55" s="2" t="s">
        <v>117</v>
      </c>
      <c r="C55" s="2" t="s">
        <v>302</v>
      </c>
      <c r="D55" s="2" t="s">
        <v>23</v>
      </c>
      <c r="E55" s="4" t="b">
        <f aca="false">FALSE()</f>
        <v>0</v>
      </c>
      <c r="F55" s="2" t="s">
        <v>308</v>
      </c>
    </row>
    <row r="56" customFormat="false" ht="15" hidden="false" customHeight="false" outlineLevel="0" collapsed="false">
      <c r="A56" s="2" t="s">
        <v>128</v>
      </c>
      <c r="B56" s="2" t="s">
        <v>130</v>
      </c>
      <c r="C56" s="2" t="s">
        <v>312</v>
      </c>
      <c r="D56" s="2" t="s">
        <v>8</v>
      </c>
      <c r="E56" s="4" t="b">
        <f aca="false">FALSE()</f>
        <v>0</v>
      </c>
      <c r="F56" s="2" t="s">
        <v>313</v>
      </c>
    </row>
    <row r="57" customFormat="false" ht="15" hidden="false" customHeight="false" outlineLevel="0" collapsed="false">
      <c r="A57" s="2" t="s">
        <v>131</v>
      </c>
      <c r="B57" s="2" t="s">
        <v>130</v>
      </c>
      <c r="C57" s="2" t="s">
        <v>312</v>
      </c>
      <c r="D57" s="2" t="s">
        <v>11</v>
      </c>
      <c r="E57" s="3" t="b">
        <f aca="false">TRUE()</f>
        <v>1</v>
      </c>
      <c r="F57" s="2" t="s">
        <v>314</v>
      </c>
    </row>
    <row r="58" customFormat="false" ht="15" hidden="false" customHeight="false" outlineLevel="0" collapsed="false">
      <c r="A58" s="2" t="s">
        <v>133</v>
      </c>
      <c r="B58" s="2" t="s">
        <v>130</v>
      </c>
      <c r="C58" s="2" t="s">
        <v>312</v>
      </c>
      <c r="D58" s="2" t="s">
        <v>14</v>
      </c>
      <c r="E58" s="3" t="b">
        <f aca="false">TRUE()</f>
        <v>1</v>
      </c>
      <c r="F58" s="2" t="s">
        <v>315</v>
      </c>
    </row>
    <row r="59" customFormat="false" ht="15" hidden="false" customHeight="false" outlineLevel="0" collapsed="false">
      <c r="A59" s="2" t="s">
        <v>135</v>
      </c>
      <c r="B59" s="2" t="s">
        <v>130</v>
      </c>
      <c r="C59" s="2" t="s">
        <v>312</v>
      </c>
      <c r="D59" s="2" t="s">
        <v>17</v>
      </c>
      <c r="E59" s="4" t="b">
        <f aca="false">FALSE()</f>
        <v>0</v>
      </c>
      <c r="F59" s="2" t="s">
        <v>306</v>
      </c>
    </row>
    <row r="60" customFormat="false" ht="15" hidden="false" customHeight="false" outlineLevel="0" collapsed="false">
      <c r="A60" s="2" t="s">
        <v>137</v>
      </c>
      <c r="B60" s="2" t="s">
        <v>130</v>
      </c>
      <c r="C60" s="2" t="s">
        <v>312</v>
      </c>
      <c r="D60" s="2" t="s">
        <v>20</v>
      </c>
      <c r="E60" s="3" t="b">
        <f aca="false">TRUE()</f>
        <v>1</v>
      </c>
      <c r="F60" s="2" t="s">
        <v>316</v>
      </c>
    </row>
    <row r="61" customFormat="false" ht="15" hidden="false" customHeight="false" outlineLevel="0" collapsed="false">
      <c r="A61" s="2" t="s">
        <v>139</v>
      </c>
      <c r="B61" s="2" t="s">
        <v>130</v>
      </c>
      <c r="C61" s="2" t="s">
        <v>312</v>
      </c>
      <c r="D61" s="2" t="s">
        <v>23</v>
      </c>
      <c r="E61" s="4" t="b">
        <f aca="false">FALSE()</f>
        <v>0</v>
      </c>
      <c r="F61" s="2" t="s">
        <v>317</v>
      </c>
    </row>
    <row r="62" customFormat="false" ht="23.85" hidden="false" customHeight="false" outlineLevel="0" collapsed="false">
      <c r="A62" s="2" t="s">
        <v>141</v>
      </c>
      <c r="B62" s="2" t="s">
        <v>143</v>
      </c>
      <c r="C62" s="2" t="s">
        <v>318</v>
      </c>
      <c r="D62" s="2" t="s">
        <v>8</v>
      </c>
      <c r="E62" s="3" t="b">
        <f aca="false">TRUE()</f>
        <v>1</v>
      </c>
      <c r="F62" s="2" t="s">
        <v>319</v>
      </c>
    </row>
    <row r="63" customFormat="false" ht="23.85" hidden="false" customHeight="false" outlineLevel="0" collapsed="false">
      <c r="A63" s="2" t="s">
        <v>144</v>
      </c>
      <c r="B63" s="2" t="s">
        <v>143</v>
      </c>
      <c r="C63" s="2" t="s">
        <v>318</v>
      </c>
      <c r="D63" s="2" t="s">
        <v>11</v>
      </c>
      <c r="E63" s="3" t="b">
        <f aca="false">TRUE()</f>
        <v>1</v>
      </c>
      <c r="F63" s="2" t="s">
        <v>320</v>
      </c>
    </row>
    <row r="64" customFormat="false" ht="23.85" hidden="false" customHeight="false" outlineLevel="0" collapsed="false">
      <c r="A64" s="2" t="s">
        <v>146</v>
      </c>
      <c r="B64" s="2" t="s">
        <v>143</v>
      </c>
      <c r="C64" s="2" t="s">
        <v>318</v>
      </c>
      <c r="D64" s="2" t="s">
        <v>14</v>
      </c>
      <c r="E64" s="4" t="b">
        <f aca="false">FALSE()</f>
        <v>0</v>
      </c>
      <c r="F64" s="2" t="s">
        <v>321</v>
      </c>
    </row>
    <row r="65" customFormat="false" ht="23.85" hidden="false" customHeight="false" outlineLevel="0" collapsed="false">
      <c r="A65" s="2" t="s">
        <v>148</v>
      </c>
      <c r="B65" s="2" t="s">
        <v>143</v>
      </c>
      <c r="C65" s="2" t="s">
        <v>318</v>
      </c>
      <c r="D65" s="2" t="s">
        <v>17</v>
      </c>
      <c r="E65" s="3" t="b">
        <f aca="false">TRUE()</f>
        <v>1</v>
      </c>
      <c r="F65" s="2" t="s">
        <v>322</v>
      </c>
    </row>
    <row r="66" customFormat="false" ht="23.85" hidden="false" customHeight="false" outlineLevel="0" collapsed="false">
      <c r="A66" s="2" t="s">
        <v>150</v>
      </c>
      <c r="B66" s="2" t="s">
        <v>143</v>
      </c>
      <c r="C66" s="2" t="s">
        <v>318</v>
      </c>
      <c r="D66" s="2" t="s">
        <v>20</v>
      </c>
      <c r="E66" s="3" t="b">
        <f aca="false">TRUE()</f>
        <v>1</v>
      </c>
      <c r="F66" s="2" t="s">
        <v>323</v>
      </c>
    </row>
    <row r="67" customFormat="false" ht="23.85" hidden="false" customHeight="false" outlineLevel="0" collapsed="false">
      <c r="A67" s="2" t="s">
        <v>152</v>
      </c>
      <c r="B67" s="2" t="s">
        <v>143</v>
      </c>
      <c r="C67" s="2" t="s">
        <v>318</v>
      </c>
      <c r="D67" s="2" t="s">
        <v>23</v>
      </c>
      <c r="E67" s="4" t="b">
        <f aca="false">FALSE()</f>
        <v>0</v>
      </c>
      <c r="F67" s="2" t="s">
        <v>324</v>
      </c>
    </row>
    <row r="68" customFormat="false" ht="15" hidden="false" customHeight="false" outlineLevel="0" collapsed="false">
      <c r="A68" s="2" t="s">
        <v>154</v>
      </c>
      <c r="B68" s="2" t="s">
        <v>156</v>
      </c>
      <c r="C68" s="2" t="s">
        <v>325</v>
      </c>
      <c r="D68" s="2" t="s">
        <v>8</v>
      </c>
      <c r="E68" s="3" t="b">
        <f aca="false">TRUE()</f>
        <v>1</v>
      </c>
      <c r="F68" s="2" t="s">
        <v>326</v>
      </c>
    </row>
    <row r="69" customFormat="false" ht="15" hidden="false" customHeight="false" outlineLevel="0" collapsed="false">
      <c r="A69" s="2" t="s">
        <v>157</v>
      </c>
      <c r="B69" s="2" t="s">
        <v>156</v>
      </c>
      <c r="C69" s="2" t="s">
        <v>325</v>
      </c>
      <c r="D69" s="2" t="s">
        <v>11</v>
      </c>
      <c r="E69" s="3" t="b">
        <f aca="false">TRUE()</f>
        <v>1</v>
      </c>
      <c r="F69" s="2" t="s">
        <v>327</v>
      </c>
    </row>
    <row r="70" customFormat="false" ht="15" hidden="false" customHeight="false" outlineLevel="0" collapsed="false">
      <c r="A70" s="2" t="s">
        <v>159</v>
      </c>
      <c r="B70" s="2" t="s">
        <v>156</v>
      </c>
      <c r="C70" s="2" t="s">
        <v>325</v>
      </c>
      <c r="D70" s="2" t="s">
        <v>14</v>
      </c>
      <c r="E70" s="4" t="b">
        <f aca="false">FALSE()</f>
        <v>0</v>
      </c>
      <c r="F70" s="2" t="s">
        <v>321</v>
      </c>
    </row>
    <row r="71" customFormat="false" ht="15" hidden="false" customHeight="false" outlineLevel="0" collapsed="false">
      <c r="A71" s="2" t="s">
        <v>161</v>
      </c>
      <c r="B71" s="2" t="s">
        <v>156</v>
      </c>
      <c r="C71" s="2" t="s">
        <v>325</v>
      </c>
      <c r="D71" s="2" t="s">
        <v>17</v>
      </c>
      <c r="E71" s="3" t="b">
        <f aca="false">TRUE()</f>
        <v>1</v>
      </c>
      <c r="F71" s="2" t="s">
        <v>328</v>
      </c>
    </row>
    <row r="72" customFormat="false" ht="15" hidden="false" customHeight="false" outlineLevel="0" collapsed="false">
      <c r="A72" s="2" t="s">
        <v>163</v>
      </c>
      <c r="B72" s="2" t="s">
        <v>156</v>
      </c>
      <c r="C72" s="2" t="s">
        <v>325</v>
      </c>
      <c r="D72" s="2" t="s">
        <v>20</v>
      </c>
      <c r="E72" s="3" t="b">
        <f aca="false">TRUE()</f>
        <v>1</v>
      </c>
      <c r="F72" s="2" t="s">
        <v>329</v>
      </c>
    </row>
    <row r="73" customFormat="false" ht="15" hidden="false" customHeight="false" outlineLevel="0" collapsed="false">
      <c r="A73" s="2" t="s">
        <v>165</v>
      </c>
      <c r="B73" s="2" t="s">
        <v>156</v>
      </c>
      <c r="C73" s="2" t="s">
        <v>325</v>
      </c>
      <c r="D73" s="2" t="s">
        <v>23</v>
      </c>
      <c r="E73" s="4" t="b">
        <f aca="false">FALSE()</f>
        <v>0</v>
      </c>
      <c r="F73" s="2" t="s">
        <v>324</v>
      </c>
    </row>
    <row r="74" customFormat="false" ht="15" hidden="false" customHeight="false" outlineLevel="0" collapsed="false">
      <c r="A74" s="2" t="s">
        <v>167</v>
      </c>
      <c r="B74" s="2" t="s">
        <v>169</v>
      </c>
      <c r="C74" s="2" t="s">
        <v>330</v>
      </c>
      <c r="D74" s="2" t="s">
        <v>8</v>
      </c>
      <c r="E74" s="3" t="b">
        <f aca="false">TRUE()</f>
        <v>1</v>
      </c>
      <c r="F74" s="2" t="s">
        <v>331</v>
      </c>
    </row>
    <row r="75" customFormat="false" ht="15" hidden="false" customHeight="false" outlineLevel="0" collapsed="false">
      <c r="A75" s="2" t="s">
        <v>170</v>
      </c>
      <c r="B75" s="2" t="s">
        <v>169</v>
      </c>
      <c r="C75" s="2" t="s">
        <v>330</v>
      </c>
      <c r="D75" s="2" t="s">
        <v>11</v>
      </c>
      <c r="E75" s="3" t="b">
        <f aca="false">TRUE()</f>
        <v>1</v>
      </c>
      <c r="F75" s="2" t="s">
        <v>332</v>
      </c>
    </row>
    <row r="76" customFormat="false" ht="15" hidden="false" customHeight="false" outlineLevel="0" collapsed="false">
      <c r="A76" s="2" t="s">
        <v>172</v>
      </c>
      <c r="B76" s="2" t="s">
        <v>169</v>
      </c>
      <c r="C76" s="2" t="s">
        <v>330</v>
      </c>
      <c r="D76" s="2" t="s">
        <v>14</v>
      </c>
      <c r="E76" s="4" t="b">
        <f aca="false">FALSE()</f>
        <v>0</v>
      </c>
      <c r="F76" s="2" t="s">
        <v>321</v>
      </c>
    </row>
    <row r="77" customFormat="false" ht="15" hidden="false" customHeight="false" outlineLevel="0" collapsed="false">
      <c r="A77" s="2" t="s">
        <v>174</v>
      </c>
      <c r="B77" s="2" t="s">
        <v>169</v>
      </c>
      <c r="C77" s="2" t="s">
        <v>330</v>
      </c>
      <c r="D77" s="2" t="s">
        <v>17</v>
      </c>
      <c r="E77" s="3" t="b">
        <f aca="false">TRUE()</f>
        <v>1</v>
      </c>
      <c r="F77" s="2" t="s">
        <v>333</v>
      </c>
    </row>
    <row r="78" customFormat="false" ht="15" hidden="false" customHeight="false" outlineLevel="0" collapsed="false">
      <c r="A78" s="2" t="s">
        <v>176</v>
      </c>
      <c r="B78" s="2" t="s">
        <v>169</v>
      </c>
      <c r="C78" s="2" t="s">
        <v>330</v>
      </c>
      <c r="D78" s="2" t="s">
        <v>20</v>
      </c>
      <c r="E78" s="3" t="b">
        <f aca="false">TRUE()</f>
        <v>1</v>
      </c>
      <c r="F78" s="2" t="s">
        <v>334</v>
      </c>
    </row>
    <row r="79" customFormat="false" ht="15" hidden="false" customHeight="false" outlineLevel="0" collapsed="false">
      <c r="A79" s="2" t="s">
        <v>178</v>
      </c>
      <c r="B79" s="2" t="s">
        <v>169</v>
      </c>
      <c r="C79" s="2" t="s">
        <v>330</v>
      </c>
      <c r="D79" s="2" t="s">
        <v>23</v>
      </c>
      <c r="E79" s="4" t="b">
        <f aca="false">FALSE()</f>
        <v>0</v>
      </c>
      <c r="F79" s="2" t="s">
        <v>324</v>
      </c>
    </row>
    <row r="80" customFormat="false" ht="15" hidden="false" customHeight="false" outlineLevel="0" collapsed="false">
      <c r="A80" s="2" t="s">
        <v>180</v>
      </c>
      <c r="B80" s="2" t="s">
        <v>182</v>
      </c>
      <c r="C80" s="2" t="s">
        <v>335</v>
      </c>
      <c r="D80" s="2" t="s">
        <v>8</v>
      </c>
      <c r="E80" s="3" t="b">
        <f aca="false">TRUE()</f>
        <v>1</v>
      </c>
      <c r="F80" s="2" t="s">
        <v>336</v>
      </c>
    </row>
    <row r="81" customFormat="false" ht="15" hidden="false" customHeight="false" outlineLevel="0" collapsed="false">
      <c r="A81" s="2" t="s">
        <v>183</v>
      </c>
      <c r="B81" s="2" t="s">
        <v>182</v>
      </c>
      <c r="C81" s="2" t="s">
        <v>335</v>
      </c>
      <c r="D81" s="2" t="s">
        <v>11</v>
      </c>
      <c r="E81" s="3" t="b">
        <f aca="false">TRUE()</f>
        <v>1</v>
      </c>
      <c r="F81" s="2" t="s">
        <v>337</v>
      </c>
    </row>
    <row r="82" customFormat="false" ht="15" hidden="false" customHeight="false" outlineLevel="0" collapsed="false">
      <c r="A82" s="2" t="s">
        <v>185</v>
      </c>
      <c r="B82" s="2" t="s">
        <v>182</v>
      </c>
      <c r="C82" s="2" t="s">
        <v>335</v>
      </c>
      <c r="D82" s="2" t="s">
        <v>14</v>
      </c>
      <c r="E82" s="4" t="b">
        <f aca="false">FALSE()</f>
        <v>0</v>
      </c>
      <c r="F82" s="2" t="s">
        <v>321</v>
      </c>
    </row>
    <row r="83" customFormat="false" ht="15" hidden="false" customHeight="false" outlineLevel="0" collapsed="false">
      <c r="A83" s="2" t="s">
        <v>187</v>
      </c>
      <c r="B83" s="2" t="s">
        <v>182</v>
      </c>
      <c r="C83" s="2" t="s">
        <v>335</v>
      </c>
      <c r="D83" s="2" t="s">
        <v>17</v>
      </c>
      <c r="E83" s="4" t="b">
        <f aca="false">FALSE()</f>
        <v>0</v>
      </c>
      <c r="F83" s="2" t="s">
        <v>338</v>
      </c>
    </row>
    <row r="84" customFormat="false" ht="15" hidden="false" customHeight="false" outlineLevel="0" collapsed="false">
      <c r="A84" s="2" t="s">
        <v>189</v>
      </c>
      <c r="B84" s="2" t="s">
        <v>182</v>
      </c>
      <c r="C84" s="2" t="s">
        <v>335</v>
      </c>
      <c r="D84" s="2" t="s">
        <v>20</v>
      </c>
      <c r="E84" s="3" t="b">
        <f aca="false">TRUE()</f>
        <v>1</v>
      </c>
      <c r="F84" s="2" t="s">
        <v>339</v>
      </c>
    </row>
    <row r="85" customFormat="false" ht="15" hidden="false" customHeight="false" outlineLevel="0" collapsed="false">
      <c r="A85" s="2" t="s">
        <v>191</v>
      </c>
      <c r="B85" s="2" t="s">
        <v>182</v>
      </c>
      <c r="C85" s="2" t="s">
        <v>335</v>
      </c>
      <c r="D85" s="2" t="s">
        <v>23</v>
      </c>
      <c r="E85" s="4" t="b">
        <f aca="false">FALSE()</f>
        <v>0</v>
      </c>
      <c r="F85" s="2" t="s">
        <v>324</v>
      </c>
    </row>
    <row r="86" customFormat="false" ht="15" hidden="false" customHeight="false" outlineLevel="0" collapsed="false">
      <c r="A86" s="2" t="s">
        <v>193</v>
      </c>
      <c r="B86" s="2" t="s">
        <v>195</v>
      </c>
      <c r="C86" s="2" t="s">
        <v>340</v>
      </c>
      <c r="D86" s="2" t="s">
        <v>8</v>
      </c>
      <c r="E86" s="3" t="b">
        <f aca="false">TRUE()</f>
        <v>1</v>
      </c>
      <c r="F86" s="2" t="s">
        <v>341</v>
      </c>
    </row>
    <row r="87" customFormat="false" ht="15" hidden="false" customHeight="false" outlineLevel="0" collapsed="false">
      <c r="A87" s="2" t="s">
        <v>196</v>
      </c>
      <c r="B87" s="2" t="s">
        <v>195</v>
      </c>
      <c r="C87" s="2" t="s">
        <v>340</v>
      </c>
      <c r="D87" s="2" t="s">
        <v>11</v>
      </c>
      <c r="E87" s="3" t="b">
        <f aca="false">TRUE()</f>
        <v>1</v>
      </c>
      <c r="F87" s="2" t="s">
        <v>342</v>
      </c>
    </row>
    <row r="88" customFormat="false" ht="15" hidden="false" customHeight="false" outlineLevel="0" collapsed="false">
      <c r="A88" s="2" t="s">
        <v>198</v>
      </c>
      <c r="B88" s="2" t="s">
        <v>195</v>
      </c>
      <c r="C88" s="2" t="s">
        <v>340</v>
      </c>
      <c r="D88" s="2" t="s">
        <v>14</v>
      </c>
      <c r="E88" s="4" t="b">
        <f aca="false">FALSE()</f>
        <v>0</v>
      </c>
      <c r="F88" s="2" t="s">
        <v>321</v>
      </c>
    </row>
    <row r="89" customFormat="false" ht="15" hidden="false" customHeight="false" outlineLevel="0" collapsed="false">
      <c r="A89" s="2" t="s">
        <v>200</v>
      </c>
      <c r="B89" s="2" t="s">
        <v>195</v>
      </c>
      <c r="C89" s="2" t="s">
        <v>340</v>
      </c>
      <c r="D89" s="2" t="s">
        <v>17</v>
      </c>
      <c r="E89" s="4" t="b">
        <f aca="false">FALSE()</f>
        <v>0</v>
      </c>
      <c r="F89" s="2" t="s">
        <v>343</v>
      </c>
    </row>
    <row r="90" customFormat="false" ht="15" hidden="false" customHeight="false" outlineLevel="0" collapsed="false">
      <c r="A90" s="2" t="s">
        <v>202</v>
      </c>
      <c r="B90" s="2" t="s">
        <v>195</v>
      </c>
      <c r="C90" s="2" t="s">
        <v>340</v>
      </c>
      <c r="D90" s="2" t="s">
        <v>20</v>
      </c>
      <c r="E90" s="3" t="b">
        <f aca="false">TRUE()</f>
        <v>1</v>
      </c>
      <c r="F90" s="2" t="s">
        <v>288</v>
      </c>
    </row>
    <row r="91" customFormat="false" ht="15" hidden="false" customHeight="false" outlineLevel="0" collapsed="false">
      <c r="A91" s="2" t="s">
        <v>204</v>
      </c>
      <c r="B91" s="2" t="s">
        <v>195</v>
      </c>
      <c r="C91" s="2" t="s">
        <v>340</v>
      </c>
      <c r="D91" s="2" t="s">
        <v>23</v>
      </c>
      <c r="E91" s="4" t="b">
        <f aca="false">FALSE()</f>
        <v>0</v>
      </c>
      <c r="F91" s="2" t="s">
        <v>324</v>
      </c>
    </row>
    <row r="92" customFormat="false" ht="15" hidden="false" customHeight="false" outlineLevel="0" collapsed="false">
      <c r="A92" s="2" t="s">
        <v>206</v>
      </c>
      <c r="B92" s="2" t="s">
        <v>208</v>
      </c>
      <c r="C92" s="2" t="s">
        <v>344</v>
      </c>
      <c r="D92" s="2" t="s">
        <v>8</v>
      </c>
      <c r="E92" s="3" t="b">
        <f aca="false">TRUE()</f>
        <v>1</v>
      </c>
      <c r="F92" s="2" t="s">
        <v>345</v>
      </c>
    </row>
    <row r="93" customFormat="false" ht="15" hidden="false" customHeight="false" outlineLevel="0" collapsed="false">
      <c r="A93" s="2" t="s">
        <v>209</v>
      </c>
      <c r="B93" s="2" t="s">
        <v>208</v>
      </c>
      <c r="C93" s="2" t="s">
        <v>344</v>
      </c>
      <c r="D93" s="2" t="s">
        <v>11</v>
      </c>
      <c r="E93" s="3" t="b">
        <f aca="false">TRUE()</f>
        <v>1</v>
      </c>
      <c r="F93" s="2" t="s">
        <v>346</v>
      </c>
    </row>
    <row r="94" customFormat="false" ht="15" hidden="false" customHeight="false" outlineLevel="0" collapsed="false">
      <c r="A94" s="2" t="s">
        <v>211</v>
      </c>
      <c r="B94" s="2" t="s">
        <v>208</v>
      </c>
      <c r="C94" s="2" t="s">
        <v>344</v>
      </c>
      <c r="D94" s="2" t="s">
        <v>14</v>
      </c>
      <c r="E94" s="4" t="b">
        <f aca="false">FALSE()</f>
        <v>0</v>
      </c>
      <c r="F94" s="2" t="s">
        <v>321</v>
      </c>
    </row>
    <row r="95" customFormat="false" ht="15" hidden="false" customHeight="false" outlineLevel="0" collapsed="false">
      <c r="A95" s="2" t="s">
        <v>213</v>
      </c>
      <c r="B95" s="2" t="s">
        <v>208</v>
      </c>
      <c r="C95" s="2" t="s">
        <v>344</v>
      </c>
      <c r="D95" s="2" t="s">
        <v>17</v>
      </c>
      <c r="E95" s="3" t="b">
        <f aca="false">TRUE()</f>
        <v>1</v>
      </c>
      <c r="F95" s="2" t="s">
        <v>347</v>
      </c>
    </row>
    <row r="96" customFormat="false" ht="15" hidden="false" customHeight="false" outlineLevel="0" collapsed="false">
      <c r="A96" s="2" t="s">
        <v>215</v>
      </c>
      <c r="B96" s="2" t="s">
        <v>208</v>
      </c>
      <c r="C96" s="2" t="s">
        <v>344</v>
      </c>
      <c r="D96" s="2" t="s">
        <v>20</v>
      </c>
      <c r="E96" s="3" t="b">
        <f aca="false">TRUE()</f>
        <v>1</v>
      </c>
      <c r="F96" s="2" t="s">
        <v>348</v>
      </c>
    </row>
    <row r="97" customFormat="false" ht="15" hidden="false" customHeight="false" outlineLevel="0" collapsed="false">
      <c r="A97" s="2" t="s">
        <v>217</v>
      </c>
      <c r="B97" s="2" t="s">
        <v>208</v>
      </c>
      <c r="C97" s="2" t="s">
        <v>344</v>
      </c>
      <c r="D97" s="2" t="s">
        <v>23</v>
      </c>
      <c r="E97" s="4" t="b">
        <f aca="false">FALSE()</f>
        <v>0</v>
      </c>
      <c r="F97" s="2" t="s">
        <v>324</v>
      </c>
    </row>
    <row r="98" customFormat="false" ht="15" hidden="false" customHeight="false" outlineLevel="0" collapsed="false">
      <c r="A98" s="2" t="s">
        <v>219</v>
      </c>
      <c r="B98" s="2" t="s">
        <v>221</v>
      </c>
      <c r="C98" s="2" t="s">
        <v>349</v>
      </c>
      <c r="D98" s="2" t="s">
        <v>8</v>
      </c>
      <c r="E98" s="3" t="b">
        <f aca="false">TRUE()</f>
        <v>1</v>
      </c>
      <c r="F98" s="2" t="s">
        <v>350</v>
      </c>
    </row>
    <row r="99" customFormat="false" ht="15" hidden="false" customHeight="false" outlineLevel="0" collapsed="false">
      <c r="A99" s="2" t="s">
        <v>222</v>
      </c>
      <c r="B99" s="2" t="s">
        <v>221</v>
      </c>
      <c r="C99" s="2" t="s">
        <v>349</v>
      </c>
      <c r="D99" s="2" t="s">
        <v>11</v>
      </c>
      <c r="E99" s="3" t="b">
        <f aca="false">TRUE()</f>
        <v>1</v>
      </c>
      <c r="F99" s="2" t="s">
        <v>351</v>
      </c>
    </row>
    <row r="100" customFormat="false" ht="15" hidden="false" customHeight="false" outlineLevel="0" collapsed="false">
      <c r="A100" s="2" t="s">
        <v>224</v>
      </c>
      <c r="B100" s="2" t="s">
        <v>221</v>
      </c>
      <c r="C100" s="2" t="s">
        <v>349</v>
      </c>
      <c r="D100" s="2" t="s">
        <v>14</v>
      </c>
      <c r="E100" s="4" t="b">
        <f aca="false">FALSE()</f>
        <v>0</v>
      </c>
      <c r="F100" s="2" t="s">
        <v>321</v>
      </c>
    </row>
    <row r="101" customFormat="false" ht="15" hidden="false" customHeight="false" outlineLevel="0" collapsed="false">
      <c r="A101" s="2" t="s">
        <v>226</v>
      </c>
      <c r="B101" s="2" t="s">
        <v>221</v>
      </c>
      <c r="C101" s="2" t="s">
        <v>349</v>
      </c>
      <c r="D101" s="2" t="s">
        <v>17</v>
      </c>
      <c r="E101" s="4" t="b">
        <f aca="false">FALSE()</f>
        <v>0</v>
      </c>
      <c r="F101" s="2" t="s">
        <v>352</v>
      </c>
    </row>
    <row r="102" customFormat="false" ht="15" hidden="false" customHeight="false" outlineLevel="0" collapsed="false">
      <c r="A102" s="2" t="s">
        <v>228</v>
      </c>
      <c r="B102" s="2" t="s">
        <v>221</v>
      </c>
      <c r="C102" s="2" t="s">
        <v>349</v>
      </c>
      <c r="D102" s="2" t="s">
        <v>20</v>
      </c>
      <c r="E102" s="3" t="b">
        <f aca="false">TRUE()</f>
        <v>1</v>
      </c>
      <c r="F102" s="2" t="s">
        <v>353</v>
      </c>
    </row>
    <row r="103" customFormat="false" ht="15" hidden="false" customHeight="false" outlineLevel="0" collapsed="false">
      <c r="A103" s="2" t="s">
        <v>230</v>
      </c>
      <c r="B103" s="2" t="s">
        <v>221</v>
      </c>
      <c r="C103" s="2" t="s">
        <v>349</v>
      </c>
      <c r="D103" s="2" t="s">
        <v>23</v>
      </c>
      <c r="E103" s="4" t="b">
        <f aca="false">FALSE()</f>
        <v>0</v>
      </c>
      <c r="F103" s="2" t="s">
        <v>324</v>
      </c>
    </row>
    <row r="104" customFormat="false" ht="15" hidden="false" customHeight="false" outlineLevel="0" collapsed="false">
      <c r="A104" s="2" t="s">
        <v>232</v>
      </c>
      <c r="B104" s="2" t="s">
        <v>234</v>
      </c>
      <c r="C104" s="2" t="s">
        <v>354</v>
      </c>
      <c r="D104" s="2" t="s">
        <v>8</v>
      </c>
      <c r="E104" s="3" t="b">
        <f aca="false">TRUE()</f>
        <v>1</v>
      </c>
      <c r="F104" s="2" t="s">
        <v>355</v>
      </c>
    </row>
    <row r="105" customFormat="false" ht="15" hidden="false" customHeight="false" outlineLevel="0" collapsed="false">
      <c r="A105" s="2" t="s">
        <v>235</v>
      </c>
      <c r="B105" s="2" t="s">
        <v>234</v>
      </c>
      <c r="C105" s="2" t="s">
        <v>354</v>
      </c>
      <c r="D105" s="2" t="s">
        <v>11</v>
      </c>
      <c r="E105" s="3" t="b">
        <f aca="false">TRUE()</f>
        <v>1</v>
      </c>
      <c r="F105" s="2" t="s">
        <v>356</v>
      </c>
    </row>
    <row r="106" customFormat="false" ht="15" hidden="false" customHeight="false" outlineLevel="0" collapsed="false">
      <c r="A106" s="2" t="s">
        <v>237</v>
      </c>
      <c r="B106" s="2" t="s">
        <v>234</v>
      </c>
      <c r="C106" s="2" t="s">
        <v>354</v>
      </c>
      <c r="D106" s="2" t="s">
        <v>14</v>
      </c>
      <c r="E106" s="4" t="b">
        <f aca="false">FALSE()</f>
        <v>0</v>
      </c>
      <c r="F106" s="2" t="s">
        <v>321</v>
      </c>
    </row>
    <row r="107" customFormat="false" ht="15" hidden="false" customHeight="false" outlineLevel="0" collapsed="false">
      <c r="A107" s="2" t="s">
        <v>239</v>
      </c>
      <c r="B107" s="2" t="s">
        <v>234</v>
      </c>
      <c r="C107" s="2" t="s">
        <v>354</v>
      </c>
      <c r="D107" s="2" t="s">
        <v>17</v>
      </c>
      <c r="E107" s="4" t="b">
        <f aca="false">FALSE()</f>
        <v>0</v>
      </c>
      <c r="F107" s="2" t="s">
        <v>357</v>
      </c>
    </row>
    <row r="108" customFormat="false" ht="15" hidden="false" customHeight="false" outlineLevel="0" collapsed="false">
      <c r="A108" s="2" t="s">
        <v>241</v>
      </c>
      <c r="B108" s="2" t="s">
        <v>234</v>
      </c>
      <c r="C108" s="2" t="s">
        <v>354</v>
      </c>
      <c r="D108" s="2" t="s">
        <v>20</v>
      </c>
      <c r="E108" s="3" t="b">
        <f aca="false">TRUE()</f>
        <v>1</v>
      </c>
      <c r="F108" s="2" t="s">
        <v>358</v>
      </c>
    </row>
    <row r="109" customFormat="false" ht="15" hidden="false" customHeight="false" outlineLevel="0" collapsed="false">
      <c r="A109" s="2" t="s">
        <v>243</v>
      </c>
      <c r="B109" s="2" t="s">
        <v>234</v>
      </c>
      <c r="C109" s="2" t="s">
        <v>354</v>
      </c>
      <c r="D109" s="2" t="s">
        <v>23</v>
      </c>
      <c r="E109" s="4" t="b">
        <f aca="false">FALSE()</f>
        <v>0</v>
      </c>
      <c r="F109" s="2" t="s">
        <v>324</v>
      </c>
    </row>
    <row r="110" customFormat="false" ht="15" hidden="false" customHeight="false" outlineLevel="0" collapsed="false">
      <c r="A110" s="2" t="s">
        <v>245</v>
      </c>
      <c r="B110" s="2" t="s">
        <v>247</v>
      </c>
      <c r="C110" s="2" t="s">
        <v>359</v>
      </c>
      <c r="D110" s="2" t="s">
        <v>8</v>
      </c>
      <c r="E110" s="3" t="b">
        <f aca="false">TRUE()</f>
        <v>1</v>
      </c>
      <c r="F110" s="2" t="s">
        <v>360</v>
      </c>
    </row>
    <row r="111" customFormat="false" ht="15" hidden="false" customHeight="false" outlineLevel="0" collapsed="false">
      <c r="A111" s="2" t="s">
        <v>248</v>
      </c>
      <c r="B111" s="2" t="s">
        <v>247</v>
      </c>
      <c r="C111" s="2" t="s">
        <v>359</v>
      </c>
      <c r="D111" s="2" t="s">
        <v>11</v>
      </c>
      <c r="E111" s="3" t="b">
        <f aca="false">TRUE()</f>
        <v>1</v>
      </c>
      <c r="F111" s="2" t="s">
        <v>361</v>
      </c>
    </row>
    <row r="112" customFormat="false" ht="15" hidden="false" customHeight="false" outlineLevel="0" collapsed="false">
      <c r="A112" s="2" t="s">
        <v>250</v>
      </c>
      <c r="B112" s="2" t="s">
        <v>247</v>
      </c>
      <c r="C112" s="2" t="s">
        <v>359</v>
      </c>
      <c r="D112" s="2" t="s">
        <v>14</v>
      </c>
      <c r="E112" s="4" t="b">
        <f aca="false">FALSE()</f>
        <v>0</v>
      </c>
      <c r="F112" s="2" t="s">
        <v>321</v>
      </c>
    </row>
    <row r="113" customFormat="false" ht="15" hidden="false" customHeight="false" outlineLevel="0" collapsed="false">
      <c r="A113" s="2" t="s">
        <v>252</v>
      </c>
      <c r="B113" s="2" t="s">
        <v>247</v>
      </c>
      <c r="C113" s="2" t="s">
        <v>359</v>
      </c>
      <c r="D113" s="2" t="s">
        <v>17</v>
      </c>
      <c r="E113" s="4" t="b">
        <f aca="false">FALSE()</f>
        <v>0</v>
      </c>
      <c r="F113" s="2" t="s">
        <v>362</v>
      </c>
    </row>
    <row r="114" customFormat="false" ht="15" hidden="false" customHeight="false" outlineLevel="0" collapsed="false">
      <c r="A114" s="2" t="s">
        <v>254</v>
      </c>
      <c r="B114" s="2" t="s">
        <v>247</v>
      </c>
      <c r="C114" s="2" t="s">
        <v>359</v>
      </c>
      <c r="D114" s="2" t="s">
        <v>20</v>
      </c>
      <c r="E114" s="3" t="b">
        <f aca="false">TRUE()</f>
        <v>1</v>
      </c>
      <c r="F114" s="2" t="s">
        <v>363</v>
      </c>
    </row>
    <row r="115" customFormat="false" ht="15" hidden="false" customHeight="false" outlineLevel="0" collapsed="false">
      <c r="A115" s="2" t="s">
        <v>256</v>
      </c>
      <c r="B115" s="2" t="s">
        <v>247</v>
      </c>
      <c r="C115" s="2" t="s">
        <v>359</v>
      </c>
      <c r="D115" s="2" t="s">
        <v>23</v>
      </c>
      <c r="E115" s="4" t="b">
        <f aca="false">FALSE()</f>
        <v>0</v>
      </c>
      <c r="F115" s="2" t="s">
        <v>324</v>
      </c>
    </row>
  </sheetData>
  <autoFilter ref="A1:F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5" min="3" style="0" width="16"/>
  </cols>
  <sheetData>
    <row r="1" customFormat="false" ht="16.15" hidden="false" customHeight="false" outlineLevel="0" collapsed="false">
      <c r="A1" s="5" t="s">
        <v>364</v>
      </c>
    </row>
    <row r="3" customFormat="false" ht="39.55" hidden="false" customHeight="false" outlineLevel="0" collapsed="false">
      <c r="A3" s="1" t="s">
        <v>365</v>
      </c>
      <c r="B3" s="1" t="s">
        <v>366</v>
      </c>
      <c r="C3" s="1" t="s">
        <v>367</v>
      </c>
      <c r="D3" s="1" t="s">
        <v>368</v>
      </c>
      <c r="E3" s="1" t="s">
        <v>369</v>
      </c>
    </row>
    <row r="4" customFormat="false" ht="15" hidden="false" customHeight="false" outlineLevel="0" collapsed="false">
      <c r="A4" s="6" t="s">
        <v>8</v>
      </c>
      <c r="B4" s="6" t="s">
        <v>370</v>
      </c>
      <c r="C4" s="7" t="n">
        <f aca="false">COUNTIFS('Threat Scenarios'!$E$2:$E$115,A4,'Threat Scenarios'!$D$2:$D$115,TRUE())</f>
        <v>16</v>
      </c>
      <c r="D4" s="7" t="n">
        <f aca="false">COUNTIFS('Threat Scenarios'!$E$2:$E$115,A4,'Threat Scenarios'!$D$2:$D$115,FALSE())</f>
        <v>3</v>
      </c>
      <c r="E4" s="7" t="n">
        <f aca="false">C4+D4</f>
        <v>19</v>
      </c>
    </row>
    <row r="5" customFormat="false" ht="15" hidden="false" customHeight="false" outlineLevel="0" collapsed="false">
      <c r="A5" s="6" t="s">
        <v>11</v>
      </c>
      <c r="B5" s="6" t="s">
        <v>371</v>
      </c>
      <c r="C5" s="7" t="n">
        <f aca="false">COUNTIFS('Threat Scenarios'!$E$2:$E$115,A5,'Threat Scenarios'!$D$2:$D$115,TRUE())</f>
        <v>19</v>
      </c>
      <c r="D5" s="7" t="n">
        <f aca="false">COUNTIFS('Threat Scenarios'!$E$2:$E$115,A5,'Threat Scenarios'!$D$2:$D$115,FALSE())</f>
        <v>0</v>
      </c>
      <c r="E5" s="7" t="n">
        <f aca="false">C5+D5</f>
        <v>19</v>
      </c>
    </row>
    <row r="6" customFormat="false" ht="15" hidden="false" customHeight="false" outlineLevel="0" collapsed="false">
      <c r="A6" s="6" t="s">
        <v>14</v>
      </c>
      <c r="B6" s="6" t="s">
        <v>372</v>
      </c>
      <c r="C6" s="7" t="n">
        <f aca="false">COUNTIFS('Threat Scenarios'!$E$2:$E$115,A6,'Threat Scenarios'!$D$2:$D$115,TRUE())</f>
        <v>3</v>
      </c>
      <c r="D6" s="7" t="n">
        <f aca="false">COUNTIFS('Threat Scenarios'!$E$2:$E$115,A6,'Threat Scenarios'!$D$2:$D$115,FALSE())</f>
        <v>16</v>
      </c>
      <c r="E6" s="7" t="n">
        <f aca="false">C6+D6</f>
        <v>19</v>
      </c>
    </row>
    <row r="7" customFormat="false" ht="15" hidden="false" customHeight="false" outlineLevel="0" collapsed="false">
      <c r="A7" s="6" t="s">
        <v>17</v>
      </c>
      <c r="B7" s="6" t="s">
        <v>373</v>
      </c>
      <c r="C7" s="7" t="n">
        <f aca="false">COUNTIFS('Threat Scenarios'!$E$2:$E$115,A7,'Threat Scenarios'!$D$2:$D$115,TRUE())</f>
        <v>8</v>
      </c>
      <c r="D7" s="7" t="n">
        <f aca="false">COUNTIFS('Threat Scenarios'!$E$2:$E$115,A7,'Threat Scenarios'!$D$2:$D$115,FALSE())</f>
        <v>11</v>
      </c>
      <c r="E7" s="7" t="n">
        <f aca="false">C7+D7</f>
        <v>19</v>
      </c>
    </row>
    <row r="8" customFormat="false" ht="15" hidden="false" customHeight="false" outlineLevel="0" collapsed="false">
      <c r="A8" s="6" t="s">
        <v>20</v>
      </c>
      <c r="B8" s="6" t="s">
        <v>374</v>
      </c>
      <c r="C8" s="7" t="n">
        <f aca="false">COUNTIFS('Threat Scenarios'!$E$2:$E$115,A8,'Threat Scenarios'!$D$2:$D$115,TRUE())</f>
        <v>19</v>
      </c>
      <c r="D8" s="7" t="n">
        <f aca="false">COUNTIFS('Threat Scenarios'!$E$2:$E$115,A8,'Threat Scenarios'!$D$2:$D$115,FALSE())</f>
        <v>0</v>
      </c>
      <c r="E8" s="7" t="n">
        <f aca="false">C8+D8</f>
        <v>19</v>
      </c>
    </row>
    <row r="9" customFormat="false" ht="15" hidden="false" customHeight="false" outlineLevel="0" collapsed="false">
      <c r="A9" s="6" t="s">
        <v>23</v>
      </c>
      <c r="B9" s="6" t="s">
        <v>375</v>
      </c>
      <c r="C9" s="7" t="n">
        <f aca="false">COUNTIFS('Threat Scenarios'!$E$2:$E$115,A9,'Threat Scenarios'!$D$2:$D$115,TRUE())</f>
        <v>4</v>
      </c>
      <c r="D9" s="7" t="n">
        <f aca="false">COUNTIFS('Threat Scenarios'!$E$2:$E$115,A9,'Threat Scenarios'!$D$2:$D$115,FALSE())</f>
        <v>15</v>
      </c>
      <c r="E9" s="7" t="n">
        <f aca="false">C9+D9</f>
        <v>19</v>
      </c>
    </row>
    <row r="10" customFormat="false" ht="15" hidden="false" customHeight="false" outlineLevel="0" collapsed="false">
      <c r="A10" s="8" t="s">
        <v>369</v>
      </c>
      <c r="B10" s="8"/>
      <c r="C10" s="9" t="n">
        <f aca="false">SUM(C4:C9)</f>
        <v>69</v>
      </c>
      <c r="D10" s="9" t="n">
        <f aca="false">SUM(D4:D9)</f>
        <v>45</v>
      </c>
      <c r="E10" s="9" t="n">
        <f aca="false">SUM(E4:E9)</f>
        <v>114</v>
      </c>
    </row>
    <row r="12" customFormat="false" ht="39.55" hidden="false" customHeight="false" outlineLevel="0" collapsed="false">
      <c r="A12" s="1" t="s">
        <v>376</v>
      </c>
      <c r="B12" s="1" t="s">
        <v>377</v>
      </c>
      <c r="C12" s="1" t="s">
        <v>367</v>
      </c>
      <c r="D12" s="1" t="s">
        <v>369</v>
      </c>
    </row>
    <row r="13" customFormat="false" ht="15" hidden="false" customHeight="false" outlineLevel="0" collapsed="false">
      <c r="A13" s="10" t="s">
        <v>7</v>
      </c>
      <c r="B13" s="10" t="s">
        <v>260</v>
      </c>
      <c r="C13" s="7" t="n">
        <f aca="false">COUNTIFS('Threat Scenarios'!$C$2:$C$115,A13,'Threat Scenarios'!$D$2:$D$115,TRUE())</f>
        <v>6</v>
      </c>
      <c r="D13" s="7" t="n">
        <f aca="false">COUNTIF('Threat Scenarios'!$C$2:$C$115,A13)</f>
        <v>6</v>
      </c>
    </row>
    <row r="14" customFormat="false" ht="15" hidden="false" customHeight="false" outlineLevel="0" collapsed="false">
      <c r="A14" s="10" t="s">
        <v>26</v>
      </c>
      <c r="B14" s="10" t="s">
        <v>267</v>
      </c>
      <c r="C14" s="7" t="n">
        <f aca="false">COUNTIFS('Threat Scenarios'!$C$2:$C$115,A14,'Threat Scenarios'!$D$2:$D$115,TRUE())</f>
        <v>5</v>
      </c>
      <c r="D14" s="7" t="n">
        <f aca="false">COUNTIF('Threat Scenarios'!$C$2:$C$115,A14)</f>
        <v>6</v>
      </c>
    </row>
    <row r="15" customFormat="false" ht="15" hidden="false" customHeight="false" outlineLevel="0" collapsed="false">
      <c r="A15" s="10" t="s">
        <v>39</v>
      </c>
      <c r="B15" s="10" t="s">
        <v>274</v>
      </c>
      <c r="C15" s="7" t="n">
        <f aca="false">COUNTIFS('Threat Scenarios'!$C$2:$C$115,A15,'Threat Scenarios'!$D$2:$D$115,TRUE())</f>
        <v>4</v>
      </c>
      <c r="D15" s="7" t="n">
        <f aca="false">COUNTIF('Threat Scenarios'!$C$2:$C$115,A15)</f>
        <v>6</v>
      </c>
    </row>
    <row r="16" customFormat="false" ht="15" hidden="false" customHeight="false" outlineLevel="0" collapsed="false">
      <c r="A16" s="10" t="s">
        <v>52</v>
      </c>
      <c r="B16" s="10" t="s">
        <v>274</v>
      </c>
      <c r="C16" s="7" t="n">
        <f aca="false">COUNTIFS('Threat Scenarios'!$C$2:$C$115,A16,'Threat Scenarios'!$D$2:$D$115,TRUE())</f>
        <v>3</v>
      </c>
      <c r="D16" s="7" t="n">
        <f aca="false">COUNTIF('Threat Scenarios'!$C$2:$C$115,A16)</f>
        <v>6</v>
      </c>
    </row>
    <row r="17" customFormat="false" ht="15" hidden="false" customHeight="false" outlineLevel="0" collapsed="false">
      <c r="A17" s="10" t="s">
        <v>65</v>
      </c>
      <c r="B17" s="10" t="s">
        <v>274</v>
      </c>
      <c r="C17" s="7" t="n">
        <f aca="false">COUNTIFS('Threat Scenarios'!$C$2:$C$115,A17,'Threat Scenarios'!$D$2:$D$115,TRUE())</f>
        <v>3</v>
      </c>
      <c r="D17" s="7" t="n">
        <f aca="false">COUNTIF('Threat Scenarios'!$C$2:$C$115,A17)</f>
        <v>6</v>
      </c>
    </row>
    <row r="18" customFormat="false" ht="23.85" hidden="false" customHeight="false" outlineLevel="0" collapsed="false">
      <c r="A18" s="10" t="s">
        <v>78</v>
      </c>
      <c r="B18" s="10" t="s">
        <v>289</v>
      </c>
      <c r="C18" s="7" t="n">
        <f aca="false">COUNTIFS('Threat Scenarios'!$C$2:$C$115,A18,'Threat Scenarios'!$D$2:$D$115,TRUE())</f>
        <v>6</v>
      </c>
      <c r="D18" s="7" t="n">
        <f aca="false">COUNTIF('Threat Scenarios'!$C$2:$C$115,A18)</f>
        <v>6</v>
      </c>
    </row>
    <row r="19" customFormat="false" ht="15" hidden="false" customHeight="false" outlineLevel="0" collapsed="false">
      <c r="A19" s="10" t="s">
        <v>91</v>
      </c>
      <c r="B19" s="10" t="s">
        <v>267</v>
      </c>
      <c r="C19" s="7" t="n">
        <f aca="false">COUNTIFS('Threat Scenarios'!$C$2:$C$115,A19,'Threat Scenarios'!$D$2:$D$115,TRUE())</f>
        <v>4</v>
      </c>
      <c r="D19" s="7" t="n">
        <f aca="false">COUNTIF('Threat Scenarios'!$C$2:$C$115,A19)</f>
        <v>6</v>
      </c>
    </row>
    <row r="20" customFormat="false" ht="15" hidden="false" customHeight="false" outlineLevel="0" collapsed="false">
      <c r="A20" s="10" t="s">
        <v>104</v>
      </c>
      <c r="B20" s="10" t="s">
        <v>302</v>
      </c>
      <c r="C20" s="7" t="n">
        <f aca="false">COUNTIFS('Threat Scenarios'!$C$2:$C$115,A20,'Threat Scenarios'!$D$2:$D$115,TRUE())</f>
        <v>2</v>
      </c>
      <c r="D20" s="7" t="n">
        <f aca="false">COUNTIF('Threat Scenarios'!$C$2:$C$115,A20)</f>
        <v>6</v>
      </c>
    </row>
    <row r="21" customFormat="false" ht="15" hidden="false" customHeight="false" outlineLevel="0" collapsed="false">
      <c r="A21" s="10" t="s">
        <v>117</v>
      </c>
      <c r="B21" s="10" t="s">
        <v>302</v>
      </c>
      <c r="C21" s="7" t="n">
        <f aca="false">COUNTIFS('Threat Scenarios'!$C$2:$C$115,A21,'Threat Scenarios'!$D$2:$D$115,TRUE())</f>
        <v>2</v>
      </c>
      <c r="D21" s="7" t="n">
        <f aca="false">COUNTIF('Threat Scenarios'!$C$2:$C$115,A21)</f>
        <v>6</v>
      </c>
    </row>
    <row r="22" customFormat="false" ht="15" hidden="false" customHeight="false" outlineLevel="0" collapsed="false">
      <c r="A22" s="10" t="s">
        <v>130</v>
      </c>
      <c r="B22" s="10" t="s">
        <v>312</v>
      </c>
      <c r="C22" s="7" t="n">
        <f aca="false">COUNTIFS('Threat Scenarios'!$C$2:$C$115,A22,'Threat Scenarios'!$D$2:$D$115,TRUE())</f>
        <v>3</v>
      </c>
      <c r="D22" s="7" t="n">
        <f aca="false">COUNTIF('Threat Scenarios'!$C$2:$C$115,A22)</f>
        <v>6</v>
      </c>
    </row>
    <row r="23" customFormat="false" ht="23.85" hidden="false" customHeight="false" outlineLevel="0" collapsed="false">
      <c r="A23" s="10" t="s">
        <v>143</v>
      </c>
      <c r="B23" s="10" t="s">
        <v>318</v>
      </c>
      <c r="C23" s="7" t="n">
        <f aca="false">COUNTIFS('Threat Scenarios'!$C$2:$C$115,A23,'Threat Scenarios'!$D$2:$D$115,TRUE())</f>
        <v>4</v>
      </c>
      <c r="D23" s="7" t="n">
        <f aca="false">COUNTIF('Threat Scenarios'!$C$2:$C$115,A23)</f>
        <v>6</v>
      </c>
    </row>
    <row r="24" customFormat="false" ht="23.85" hidden="false" customHeight="false" outlineLevel="0" collapsed="false">
      <c r="A24" s="10" t="s">
        <v>156</v>
      </c>
      <c r="B24" s="10" t="s">
        <v>325</v>
      </c>
      <c r="C24" s="7" t="n">
        <f aca="false">COUNTIFS('Threat Scenarios'!$C$2:$C$115,A24,'Threat Scenarios'!$D$2:$D$115,TRUE())</f>
        <v>4</v>
      </c>
      <c r="D24" s="7" t="n">
        <f aca="false">COUNTIF('Threat Scenarios'!$C$2:$C$115,A24)</f>
        <v>6</v>
      </c>
    </row>
    <row r="25" customFormat="false" ht="23.85" hidden="false" customHeight="false" outlineLevel="0" collapsed="false">
      <c r="A25" s="10" t="s">
        <v>169</v>
      </c>
      <c r="B25" s="10" t="s">
        <v>330</v>
      </c>
      <c r="C25" s="7" t="n">
        <f aca="false">COUNTIFS('Threat Scenarios'!$C$2:$C$115,A25,'Threat Scenarios'!$D$2:$D$115,TRUE())</f>
        <v>4</v>
      </c>
      <c r="D25" s="7" t="n">
        <f aca="false">COUNTIF('Threat Scenarios'!$C$2:$C$115,A25)</f>
        <v>6</v>
      </c>
    </row>
    <row r="26" customFormat="false" ht="23.85" hidden="false" customHeight="false" outlineLevel="0" collapsed="false">
      <c r="A26" s="10" t="s">
        <v>182</v>
      </c>
      <c r="B26" s="10" t="s">
        <v>335</v>
      </c>
      <c r="C26" s="7" t="n">
        <f aca="false">COUNTIFS('Threat Scenarios'!$C$2:$C$115,A26,'Threat Scenarios'!$D$2:$D$115,TRUE())</f>
        <v>3</v>
      </c>
      <c r="D26" s="7" t="n">
        <f aca="false">COUNTIF('Threat Scenarios'!$C$2:$C$115,A26)</f>
        <v>6</v>
      </c>
    </row>
    <row r="27" customFormat="false" ht="23.85" hidden="false" customHeight="false" outlineLevel="0" collapsed="false">
      <c r="A27" s="10" t="s">
        <v>195</v>
      </c>
      <c r="B27" s="10" t="s">
        <v>340</v>
      </c>
      <c r="C27" s="7" t="n">
        <f aca="false">COUNTIFS('Threat Scenarios'!$C$2:$C$115,A27,'Threat Scenarios'!$D$2:$D$115,TRUE())</f>
        <v>3</v>
      </c>
      <c r="D27" s="7" t="n">
        <f aca="false">COUNTIF('Threat Scenarios'!$C$2:$C$115,A27)</f>
        <v>6</v>
      </c>
    </row>
    <row r="28" customFormat="false" ht="23.85" hidden="false" customHeight="false" outlineLevel="0" collapsed="false">
      <c r="A28" s="10" t="s">
        <v>208</v>
      </c>
      <c r="B28" s="10" t="s">
        <v>344</v>
      </c>
      <c r="C28" s="7" t="n">
        <f aca="false">COUNTIFS('Threat Scenarios'!$C$2:$C$115,A28,'Threat Scenarios'!$D$2:$D$115,TRUE())</f>
        <v>4</v>
      </c>
      <c r="D28" s="7" t="n">
        <f aca="false">COUNTIF('Threat Scenarios'!$C$2:$C$115,A28)</f>
        <v>6</v>
      </c>
    </row>
    <row r="29" customFormat="false" ht="15" hidden="false" customHeight="false" outlineLevel="0" collapsed="false">
      <c r="A29" s="10" t="s">
        <v>221</v>
      </c>
      <c r="B29" s="10" t="s">
        <v>349</v>
      </c>
      <c r="C29" s="7" t="n">
        <f aca="false">COUNTIFS('Threat Scenarios'!$C$2:$C$115,A29,'Threat Scenarios'!$D$2:$D$115,TRUE())</f>
        <v>3</v>
      </c>
      <c r="D29" s="7" t="n">
        <f aca="false">COUNTIF('Threat Scenarios'!$C$2:$C$115,A29)</f>
        <v>6</v>
      </c>
    </row>
    <row r="30" customFormat="false" ht="15" hidden="false" customHeight="false" outlineLevel="0" collapsed="false">
      <c r="A30" s="10" t="s">
        <v>234</v>
      </c>
      <c r="B30" s="10" t="s">
        <v>354</v>
      </c>
      <c r="C30" s="7" t="n">
        <f aca="false">COUNTIFS('Threat Scenarios'!$C$2:$C$115,A30,'Threat Scenarios'!$D$2:$D$115,TRUE())</f>
        <v>3</v>
      </c>
      <c r="D30" s="7" t="n">
        <f aca="false">COUNTIF('Threat Scenarios'!$C$2:$C$115,A30)</f>
        <v>6</v>
      </c>
    </row>
    <row r="31" customFormat="false" ht="15" hidden="false" customHeight="false" outlineLevel="0" collapsed="false">
      <c r="A31" s="10" t="s">
        <v>247</v>
      </c>
      <c r="B31" s="10" t="s">
        <v>359</v>
      </c>
      <c r="C31" s="7" t="n">
        <f aca="false">COUNTIFS('Threat Scenarios'!$C$2:$C$115,A31,'Threat Scenarios'!$D$2:$D$115,TRUE())</f>
        <v>3</v>
      </c>
      <c r="D31" s="7" t="n">
        <f aca="false">COUNTIF('Threat Scenarios'!$C$2:$C$115,A31)</f>
        <v>6</v>
      </c>
    </row>
    <row r="33" customFormat="false" ht="15" hidden="false" customHeight="false" outlineLevel="0" collapsed="false">
      <c r="A33" s="11" t="s">
        <v>378</v>
      </c>
    </row>
    <row r="34" customFormat="false" ht="42" hidden="false" customHeight="true" outlineLevel="0" collapsed="false">
      <c r="A34" s="12" t="s">
        <v>379</v>
      </c>
      <c r="B34" s="12"/>
      <c r="C34" s="12"/>
      <c r="D34" s="12"/>
      <c r="E34" s="12"/>
    </row>
    <row r="35" customFormat="false" ht="42" hidden="false" customHeight="true" outlineLevel="0" collapsed="false">
      <c r="A35" s="12" t="s">
        <v>380</v>
      </c>
      <c r="B35" s="12"/>
      <c r="C35" s="12"/>
      <c r="D35" s="12"/>
      <c r="E35" s="12"/>
    </row>
    <row r="36" customFormat="false" ht="42" hidden="false" customHeight="true" outlineLevel="0" collapsed="false">
      <c r="A36" s="12" t="s">
        <v>381</v>
      </c>
      <c r="B36" s="12"/>
      <c r="C36" s="12"/>
      <c r="D36" s="12"/>
      <c r="E36" s="12"/>
    </row>
    <row r="37" customFormat="false" ht="42" hidden="false" customHeight="true" outlineLevel="0" collapsed="false">
      <c r="A37" s="12" t="s">
        <v>382</v>
      </c>
      <c r="B37" s="12"/>
      <c r="C37" s="12"/>
      <c r="D37" s="12"/>
      <c r="E37" s="12"/>
    </row>
    <row r="38" customFormat="false" ht="42" hidden="false" customHeight="true" outlineLevel="0" collapsed="false">
      <c r="A38" s="12" t="s">
        <v>383</v>
      </c>
      <c r="B38" s="12"/>
      <c r="C38" s="12"/>
      <c r="D38" s="12"/>
      <c r="E38" s="12"/>
    </row>
    <row r="39" customFormat="false" ht="42" hidden="false" customHeight="true" outlineLevel="0" collapsed="false">
      <c r="A39" s="12" t="s">
        <v>384</v>
      </c>
      <c r="B39" s="12"/>
      <c r="C39" s="12"/>
      <c r="D39" s="12"/>
      <c r="E39" s="12"/>
    </row>
  </sheetData>
  <mergeCells count="6">
    <mergeCell ref="A34:E34"/>
    <mergeCell ref="A35:E35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2026-09-28T07:24:15Z</dcterms:created>
  <dc:creator>openpyxl</dc:creator>
  <dc:description/>
  <dc:language>en-US</dc:language>
  <cp:lastModifiedBy/>
  <dcterms:modified xsi:type="dcterms:W3CDTF">2026-09-28T07:24:15Z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