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RA" sheetId="1" state="visible" r:id="rId3"/>
    <sheet name="Threat Details" sheetId="2" state="visible" r:id="rId4"/>
    <sheet name="Method" sheetId="3" state="visible" r:id="rId5"/>
  </sheets>
  <definedNames>
    <definedName function="false" hidden="true" localSheetId="0" name="_xlnm._FilterDatabase" vbProcedure="false">TARA!$A$1:$E$83</definedName>
    <definedName function="false" hidden="true" localSheetId="1" name="_xlnm._FilterDatabase" vbProcedure="false">'Threat Details'!$A$1:$G$83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<sst xmlns="http://schemas.openxmlformats.org/spreadsheetml/2006/main" count="1043" uniqueCount="385">
  <si>
    <t xml:space="preserve">ID</t>
  </si>
  <si>
    <t xml:space="preserve">Name</t>
  </si>
  <si>
    <t xml:space="preserve">Assets</t>
  </si>
  <si>
    <t xml:space="preserve">To Be Assessed</t>
  </si>
  <si>
    <t xml:space="preserve">Category</t>
  </si>
  <si>
    <t xml:space="preserve">TS-01</t>
  </si>
  <si>
    <t xml:space="preserve">Spoofing of AI Controller Module (impersonation of the controller)</t>
  </si>
  <si>
    <t xml:space="preserve">AI Controller Module</t>
  </si>
  <si>
    <t xml:space="preserve">True</t>
  </si>
  <si>
    <t xml:space="preserve">Spoofing</t>
  </si>
  <si>
    <t xml:space="preserve">TS-02</t>
  </si>
  <si>
    <t xml:space="preserve">Tampering with AI Controller Module (model or decision logic manipulation)</t>
  </si>
  <si>
    <t xml:space="preserve">Tampering</t>
  </si>
  <si>
    <t xml:space="preserve">TS-03</t>
  </si>
  <si>
    <t xml:space="preserve">Repudiation of AI Controller decisions (no traceable decision log)</t>
  </si>
  <si>
    <t xml:space="preserve">Repudiation</t>
  </si>
  <si>
    <t xml:space="preserve">TS-04</t>
  </si>
  <si>
    <t xml:space="preserve">Information Disclosure of AI Controller Module (model extraction)</t>
  </si>
  <si>
    <t xml:space="preserve">Information Disclosure</t>
  </si>
  <si>
    <t xml:space="preserve">TS-05</t>
  </si>
  <si>
    <t xml:space="preserve">Denial of Service of AI Controller Module (resource exhaustion or crash)</t>
  </si>
  <si>
    <t xml:space="preserve">Denial of Service</t>
  </si>
  <si>
    <t xml:space="preserve">TS-06</t>
  </si>
  <si>
    <t xml:space="preserve">Elevation of Privilege on AI Controller Module (privileged code execution)</t>
  </si>
  <si>
    <t xml:space="preserve">Elevation of Privilege</t>
  </si>
  <si>
    <t xml:space="preserve">TS-07</t>
  </si>
  <si>
    <t xml:space="preserve">Spoofing of Perception Module (fake environment data source)</t>
  </si>
  <si>
    <t xml:space="preserve">Perception Module</t>
  </si>
  <si>
    <t xml:space="preserve">TS-08</t>
  </si>
  <si>
    <t xml:space="preserve">Tampering with Perception Module (sensor fusion or calibration manipulation)</t>
  </si>
  <si>
    <t xml:space="preserve">TS-09</t>
  </si>
  <si>
    <t xml:space="preserve">Repudiation of Perception Module actions</t>
  </si>
  <si>
    <t xml:space="preserve">False</t>
  </si>
  <si>
    <t xml:space="preserve">TS-10</t>
  </si>
  <si>
    <t xml:space="preserve">Information Disclosure of Perception Module (leak of environment data)</t>
  </si>
  <si>
    <t xml:space="preserve">TS-11</t>
  </si>
  <si>
    <t xml:space="preserve">Denial of Service of Perception Module (overload or crash)</t>
  </si>
  <si>
    <t xml:space="preserve">TS-12</t>
  </si>
  <si>
    <t xml:space="preserve">Elevation of Privilege on Perception Module (privileged code execution)</t>
  </si>
  <si>
    <t xml:space="preserve">TS-13</t>
  </si>
  <si>
    <t xml:space="preserve">Spoofing of Camera (adversarial patches, projected or displayed fake objects)</t>
  </si>
  <si>
    <t xml:space="preserve">Camera</t>
  </si>
  <si>
    <t xml:space="preserve">TS-14</t>
  </si>
  <si>
    <t xml:space="preserve">Tampering with Camera (misalignment, obstruction, firmware or calibration change)</t>
  </si>
  <si>
    <t xml:space="preserve">TS-15</t>
  </si>
  <si>
    <t xml:space="preserve">Information Disclosure of Camera data (footage of surroundings)</t>
  </si>
  <si>
    <t xml:space="preserve">TS-16</t>
  </si>
  <si>
    <t xml:space="preserve">Denial of Service of Camera (blinding or covering)</t>
  </si>
  <si>
    <t xml:space="preserve">TS-17</t>
  </si>
  <si>
    <t xml:space="preserve">Spoofing of Radar (ghost targets, false distance or speed)</t>
  </si>
  <si>
    <t xml:space="preserve">Radar</t>
  </si>
  <si>
    <t xml:space="preserve">TS-18</t>
  </si>
  <si>
    <t xml:space="preserve">Tampering with Radar (misalignment, firmware or calibration change)</t>
  </si>
  <si>
    <t xml:space="preserve">TS-19</t>
  </si>
  <si>
    <t xml:space="preserve">Information Disclosure of Radar data</t>
  </si>
  <si>
    <t xml:space="preserve">TS-20</t>
  </si>
  <si>
    <t xml:space="preserve">Denial of Service of Radar (jamming)</t>
  </si>
  <si>
    <t xml:space="preserve">TS-21</t>
  </si>
  <si>
    <t xml:space="preserve">Spoofing of LIDAR (fake points or object removal)</t>
  </si>
  <si>
    <t xml:space="preserve">LIDAR</t>
  </si>
  <si>
    <t xml:space="preserve">TS-22</t>
  </si>
  <si>
    <t xml:space="preserve">Tampering with LIDAR (misalignment, firmware or calibration change)</t>
  </si>
  <si>
    <t xml:space="preserve">TS-23</t>
  </si>
  <si>
    <t xml:space="preserve">Information Disclosure of LIDAR data</t>
  </si>
  <si>
    <t xml:space="preserve">TS-24</t>
  </si>
  <si>
    <t xml:space="preserve">Denial of Service of LIDAR (saturation or blinding)</t>
  </si>
  <si>
    <t xml:space="preserve">TS-25</t>
  </si>
  <si>
    <t xml:space="preserve">Spoofing of OBU / V2X messages (forged messages, Sybil attack)</t>
  </si>
  <si>
    <t xml:space="preserve">OBU</t>
  </si>
  <si>
    <t xml:space="preserve">TS-26</t>
  </si>
  <si>
    <t xml:space="preserve">Tampering with OBU (firmware, keys or message content)</t>
  </si>
  <si>
    <t xml:space="preserve">TS-27</t>
  </si>
  <si>
    <t xml:space="preserve">Repudiation of V2X messages (sender denies a harmful message)</t>
  </si>
  <si>
    <t xml:space="preserve">TS-28</t>
  </si>
  <si>
    <t xml:space="preserve">Information Disclosure via OBU (vehicle tracking, key extraction)</t>
  </si>
  <si>
    <t xml:space="preserve">TS-29</t>
  </si>
  <si>
    <t xml:space="preserve">Denial of Service of OBU (RF jamming or message flooding)</t>
  </si>
  <si>
    <t xml:space="preserve">TS-30</t>
  </si>
  <si>
    <t xml:space="preserve">Elevation of Privilege via OBU (remote entry point to the vehicle network)</t>
  </si>
  <si>
    <t xml:space="preserve">TS-31</t>
  </si>
  <si>
    <t xml:space="preserve">Spoofing of Actuation Module (impersonation toward actuators)</t>
  </si>
  <si>
    <t xml:space="preserve">Actuation Module</t>
  </si>
  <si>
    <t xml:space="preserve">TS-32</t>
  </si>
  <si>
    <t xml:space="preserve">Tampering with Actuation Module (command translation or safety limit manipulation)</t>
  </si>
  <si>
    <t xml:space="preserve">TS-33</t>
  </si>
  <si>
    <t xml:space="preserve">Repudiation of Actuation Module actions</t>
  </si>
  <si>
    <t xml:space="preserve">TS-34</t>
  </si>
  <si>
    <t xml:space="preserve">Information Disclosure of Actuation Module</t>
  </si>
  <si>
    <t xml:space="preserve">TS-35</t>
  </si>
  <si>
    <t xml:space="preserve">Denial of Service of Actuation Module (overload or crash)</t>
  </si>
  <si>
    <t xml:space="preserve">TS-36</t>
  </si>
  <si>
    <t xml:space="preserve">Elevation of Privilege on Actuation Module (privileged code execution)</t>
  </si>
  <si>
    <t xml:space="preserve">TS-37</t>
  </si>
  <si>
    <t xml:space="preserve">Tampering with Brake actuator (ignored, weakened or unintended braking)</t>
  </si>
  <si>
    <t xml:space="preserve">Brake</t>
  </si>
  <si>
    <t xml:space="preserve">TS-38</t>
  </si>
  <si>
    <t xml:space="preserve">Denial of Service of Brake actuator (braking unavailable)</t>
  </si>
  <si>
    <t xml:space="preserve">TS-39</t>
  </si>
  <si>
    <t xml:space="preserve">Tampering with Throttle actuator (unintended acceleration)</t>
  </si>
  <si>
    <t xml:space="preserve">Throttle</t>
  </si>
  <si>
    <t xml:space="preserve">TS-40</t>
  </si>
  <si>
    <t xml:space="preserve">Denial of Service of Throttle actuator (throttle unavailable)</t>
  </si>
  <si>
    <t xml:space="preserve">TS-41</t>
  </si>
  <si>
    <t xml:space="preserve">Spoofing of AEB unit (false availability or false activation)</t>
  </si>
  <si>
    <t xml:space="preserve">AEB</t>
  </si>
  <si>
    <t xml:space="preserve">TS-42</t>
  </si>
  <si>
    <t xml:space="preserve">Tampering with AEB (disabling or changing activation thresholds)</t>
  </si>
  <si>
    <t xml:space="preserve">TS-43</t>
  </si>
  <si>
    <t xml:space="preserve">Repudiation of AEB actions</t>
  </si>
  <si>
    <t xml:space="preserve">TS-44</t>
  </si>
  <si>
    <t xml:space="preserve">Information Disclosure of AEB</t>
  </si>
  <si>
    <t xml:space="preserve">TS-45</t>
  </si>
  <si>
    <t xml:space="preserve">Denial of Service of AEB (activation prevented)</t>
  </si>
  <si>
    <t xml:space="preserve">TS-46</t>
  </si>
  <si>
    <t xml:space="preserve">Elevation of Privilege on AEB (unauthorized reprogramming)</t>
  </si>
  <si>
    <t xml:space="preserve">TS-47</t>
  </si>
  <si>
    <t xml:space="preserve">Spoofing of camera data stream (injection of fabricated messages)</t>
  </si>
  <si>
    <t xml:space="preserve">Camera → Perception Module (C Out → PM In)</t>
  </si>
  <si>
    <t xml:space="preserve">TS-48</t>
  </si>
  <si>
    <t xml:space="preserve">Tampering with camera data stream in transit (modification, replay, delay)</t>
  </si>
  <si>
    <t xml:space="preserve">TS-49</t>
  </si>
  <si>
    <t xml:space="preserve">Eavesdropping on camera data stream</t>
  </si>
  <si>
    <t xml:space="preserve">TS-50</t>
  </si>
  <si>
    <t xml:space="preserve">Denial of Service of camera data stream (flooding, bus-off, jamming, disconnection)</t>
  </si>
  <si>
    <t xml:space="preserve">TS-51</t>
  </si>
  <si>
    <t xml:space="preserve">Spoofing of radar data stream (injection of fabricated messages)</t>
  </si>
  <si>
    <t xml:space="preserve">Radar → Perception Module (R Out → PM In)</t>
  </si>
  <si>
    <t xml:space="preserve">TS-52</t>
  </si>
  <si>
    <t xml:space="preserve">Tampering with radar data stream in transit (modification, replay, delay)</t>
  </si>
  <si>
    <t xml:space="preserve">TS-53</t>
  </si>
  <si>
    <t xml:space="preserve">Eavesdropping on radar data stream</t>
  </si>
  <si>
    <t xml:space="preserve">TS-54</t>
  </si>
  <si>
    <t xml:space="preserve">Denial of Service of radar data stream (flooding, bus-off, jamming, disconnection)</t>
  </si>
  <si>
    <t xml:space="preserve">TS-55</t>
  </si>
  <si>
    <t xml:space="preserve">Spoofing of LIDAR data stream (injection of fabricated messages)</t>
  </si>
  <si>
    <t xml:space="preserve">LIDAR → Perception Module (L Out → PM In)</t>
  </si>
  <si>
    <t xml:space="preserve">TS-56</t>
  </si>
  <si>
    <t xml:space="preserve">Tampering with LIDAR data stream in transit (modification, replay, delay)</t>
  </si>
  <si>
    <t xml:space="preserve">TS-57</t>
  </si>
  <si>
    <t xml:space="preserve">Eavesdropping on LIDAR data stream</t>
  </si>
  <si>
    <t xml:space="preserve">TS-58</t>
  </si>
  <si>
    <t xml:space="preserve">Denial of Service of LIDAR data stream (flooding, bus-off, jamming, disconnection)</t>
  </si>
  <si>
    <t xml:space="preserve">TS-59</t>
  </si>
  <si>
    <t xml:space="preserve">Spoofing of OBU data stream (injection of fabricated messages)</t>
  </si>
  <si>
    <t xml:space="preserve">OBU → Perception Module (OBU Out → PM In)</t>
  </si>
  <si>
    <t xml:space="preserve">TS-60</t>
  </si>
  <si>
    <t xml:space="preserve">Tampering with OBU data stream in transit (modification, replay, delay)</t>
  </si>
  <si>
    <t xml:space="preserve">TS-61</t>
  </si>
  <si>
    <t xml:space="preserve">Eavesdropping on OBU data stream</t>
  </si>
  <si>
    <t xml:space="preserve">TS-62</t>
  </si>
  <si>
    <t xml:space="preserve">Denial of Service of OBU data stream (flooding, bus-off, jamming, disconnection)</t>
  </si>
  <si>
    <t xml:space="preserve">TS-63</t>
  </si>
  <si>
    <t xml:space="preserve">Spoofing of perception object data (injection of fabricated messages)</t>
  </si>
  <si>
    <t xml:space="preserve">Perception Module → AI Controller Module (PM Out → AI In)</t>
  </si>
  <si>
    <t xml:space="preserve">TS-64</t>
  </si>
  <si>
    <t xml:space="preserve">Tampering with perception object data in transit (modification, replay, delay)</t>
  </si>
  <si>
    <t xml:space="preserve">TS-65</t>
  </si>
  <si>
    <t xml:space="preserve">Eavesdropping on perception object data</t>
  </si>
  <si>
    <t xml:space="preserve">TS-66</t>
  </si>
  <si>
    <t xml:space="preserve">Denial of Service of perception object data (flooding, bus-off, jamming, disconnection)</t>
  </si>
  <si>
    <t xml:space="preserve">TS-67</t>
  </si>
  <si>
    <t xml:space="preserve">Spoofing of ACC command messages (injection of fabricated messages)</t>
  </si>
  <si>
    <t xml:space="preserve">AI Controller Module → Actuation Module (AI Out → AM In)</t>
  </si>
  <si>
    <t xml:space="preserve">TS-68</t>
  </si>
  <si>
    <t xml:space="preserve">Tampering with ACC command messages in transit (modification, replay, delay)</t>
  </si>
  <si>
    <t xml:space="preserve">TS-69</t>
  </si>
  <si>
    <t xml:space="preserve">Eavesdropping on ACC command messages</t>
  </si>
  <si>
    <t xml:space="preserve">TS-70</t>
  </si>
  <si>
    <t xml:space="preserve">Denial of Service of ACC command messages (flooding, bus-off, jamming, disconnection)</t>
  </si>
  <si>
    <t xml:space="preserve">TS-71</t>
  </si>
  <si>
    <t xml:space="preserve">Spoofing of brake command messages (injection of fabricated messages)</t>
  </si>
  <si>
    <t xml:space="preserve">Actuation Module → Brake (AM Out → B In)</t>
  </si>
  <si>
    <t xml:space="preserve">TS-72</t>
  </si>
  <si>
    <t xml:space="preserve">Tampering with brake command messages in transit (modification, replay, delay)</t>
  </si>
  <si>
    <t xml:space="preserve">TS-73</t>
  </si>
  <si>
    <t xml:space="preserve">Eavesdropping on brake command messages</t>
  </si>
  <si>
    <t xml:space="preserve">TS-74</t>
  </si>
  <si>
    <t xml:space="preserve">Denial of Service of brake command messages (flooding, bus-off, jamming, disconnection)</t>
  </si>
  <si>
    <t xml:space="preserve">TS-75</t>
  </si>
  <si>
    <t xml:space="preserve">Spoofing of throttle command messages (injection of fabricated messages)</t>
  </si>
  <si>
    <t xml:space="preserve">Actuation Module → Throttle (AM Out → T In)</t>
  </si>
  <si>
    <t xml:space="preserve">TS-76</t>
  </si>
  <si>
    <t xml:space="preserve">Tampering with throttle command messages in transit (modification, replay, delay)</t>
  </si>
  <si>
    <t xml:space="preserve">TS-77</t>
  </si>
  <si>
    <t xml:space="preserve">Eavesdropping on throttle command messages</t>
  </si>
  <si>
    <t xml:space="preserve">TS-78</t>
  </si>
  <si>
    <t xml:space="preserve">Denial of Service of throttle command messages (flooding, bus-off, jamming, disconnection)</t>
  </si>
  <si>
    <t xml:space="preserve">TS-79</t>
  </si>
  <si>
    <t xml:space="preserve">Spoofing of AEB command messages (injection of fabricated messages)</t>
  </si>
  <si>
    <t xml:space="preserve">Actuation Module → AEB (AM Out → AEB In)</t>
  </si>
  <si>
    <t xml:space="preserve">TS-80</t>
  </si>
  <si>
    <t xml:space="preserve">Tampering with AEB command messages in transit (modification, replay, delay)</t>
  </si>
  <si>
    <t xml:space="preserve">TS-81</t>
  </si>
  <si>
    <t xml:space="preserve">Eavesdropping on AEB command messages</t>
  </si>
  <si>
    <t xml:space="preserve">TS-82</t>
  </si>
  <si>
    <t xml:space="preserve">Denial of Service of AEB command messages (flooding, bus-off, jamming, disconnection)</t>
  </si>
  <si>
    <t xml:space="preserve">Element Type</t>
  </si>
  <si>
    <t xml:space="preserve">Security Property</t>
  </si>
  <si>
    <t xml:space="preserve">Threat Description</t>
  </si>
  <si>
    <t xml:space="preserve">Rationale for To Be Assessed</t>
  </si>
  <si>
    <t xml:space="preserve">Software Unit</t>
  </si>
  <si>
    <t xml:space="preserve">Authenticity</t>
  </si>
  <si>
    <t xml:space="preserve">A malicious ECU or process on the in-vehicle network impersonates the AI Controller Module and sends its own acceleration and braking decisions to the Actuation Module.</t>
  </si>
  <si>
    <t xml:space="preserve">Gives the attacker direct influence on longitudinal vehicle motion; high safety impact.</t>
  </si>
  <si>
    <t xml:space="preserve">Integrity</t>
  </si>
  <si>
    <t xml:space="preserve">Manipulation of the AI Decision Engine (model weights, backdoor through poisoned training data, malicious software or model update) or of the Data Acquisition &amp; Preprocessing logic (filters, thresholds), so the controller outputs unsafe following distances or speeds.</t>
  </si>
  <si>
    <t xml:space="preserve">Corrupts every decision the ACC takes; high safety impact. Covers AI-specific threats (data poisoning, backdoors).</t>
  </si>
  <si>
    <t xml:space="preserve">Non-repudiation</t>
  </si>
  <si>
    <t xml:space="preserve">Decisions of the AI Decision Engine are not logged in a tamper-evident way, so an unsafe action (e.g., unexpected acceleration) cannot be traced, attributed or reconstructed after an incident.</t>
  </si>
  <si>
    <t xml:space="preserve">The AI Controller is the only decision-making element; traceability of AI decisions is needed for incident analysis, liability and forensics.</t>
  </si>
  <si>
    <t xml:space="preserve">Confidentiality</t>
  </si>
  <si>
    <t xml:space="preserve">The AI model or its parameters are extracted (debug interface, memory dump, firmware readout or query-based model stealing), together with any stored driving data.</t>
  </si>
  <si>
    <t xml:space="preserve">A stolen model lets an attacker design adversarial inputs offline, which enables the sensor spoofing threats; also financial (IP) impact.</t>
  </si>
  <si>
    <t xml:space="preserve">Availability</t>
  </si>
  <si>
    <t xml:space="preserve">The controller is overloaded or crashed, e.g., by flooding AI In or by crafted inputs that cause excessive inference time, so no decision is produced within the control cycle.</t>
  </si>
  <si>
    <t xml:space="preserve">Loss of the ACC decision function while driving; safety and operational impact.</t>
  </si>
  <si>
    <t xml:space="preserve">Authorization</t>
  </si>
  <si>
    <t xml:space="preserve">A vulnerability (input parsing, unprotected debug or diagnostic access, insecure update mechanism) is exploited to gain privileged execution on the controller.</t>
  </si>
  <si>
    <t xml:space="preserve">Full control over ACC decision-making; highest-impact end state for an attacker.</t>
  </si>
  <si>
    <t xml:space="preserve">Component</t>
  </si>
  <si>
    <t xml:space="preserve">A malicious node impersonates the Perception Module and sends fabricated object lists (lead vehicle distance, relative speed) to the AI Controller Module.</t>
  </si>
  <si>
    <t xml:space="preserve">The AI Controller acts on false environment data; high safety impact.</t>
  </si>
  <si>
    <t xml:space="preserve">Modification of the sensor fusion software or its parameters (sensor offsets, fusion weights, object tracking thresholds), so the environment model sent to the AI Controller is wrong.</t>
  </si>
  <si>
    <t xml:space="preserve">Systematically wrong distance or speed of the lead vehicle; high safety impact.</t>
  </si>
  <si>
    <t xml:space="preserve">The Perception Module could deny having produced a given object list.</t>
  </si>
  <si>
    <t xml:space="preserve">The module only processes sensor data and takes no attributable decisions; decision traceability is covered at the AI Controller (TS-03). Not carried into risk assessment.</t>
  </si>
  <si>
    <t xml:space="preserve">Fused environment data (detected objects, camera-derived information about other road users) is read out of the module.</t>
  </si>
  <si>
    <t xml:space="preserve">Limited privacy value in the ACC context and no effect on vehicle behavior. Reconsider if images or object data are stored.</t>
  </si>
  <si>
    <t xml:space="preserve">The module is overloaded (e.g., by flooding PM In) or crashed, so no environment model reaches the AI Controller.</t>
  </si>
  <si>
    <t xml:space="preserve">ACC loses its view of the lead vehicle; safety and operational impact.</t>
  </si>
  <si>
    <t xml:space="preserve">A vulnerability in the module is exploited to gain privileged control, allowing arbitrary manipulation of the object list.</t>
  </si>
  <si>
    <t xml:space="preserve">Full control over the environment model used by the AI Controller; high safety impact.</t>
  </si>
  <si>
    <t xml:space="preserve">Sensor</t>
  </si>
  <si>
    <t xml:space="preserve">Adversarial patches or stickers, projected images, or screens showing fake vehicles or lane markings are presented to the camera, so the AI-based detection sees phantom objects or misses the real lead vehicle (adversarial examples).</t>
  </si>
  <si>
    <t xml:space="preserve">AI-specific evasion attack on the vision pipeline; can cause phantom braking or missed detection. High safety impact.</t>
  </si>
  <si>
    <t xml:space="preserve">Physical manipulation of the camera (changed mounting angle, partial lens obstruction) or modification of its firmware or calibration data.</t>
  </si>
  <si>
    <t xml:space="preserve">Persistent degradation of detection accuracy; safety impact.</t>
  </si>
  <si>
    <t xml:space="preserve">Camera footage of the road and other road users is captured by an attacker.</t>
  </si>
  <si>
    <t xml:space="preserve">Privacy concern for third parties but no effect on ACC behavior; not carried into risk assessment unless footage is stored or transmitted.</t>
  </si>
  <si>
    <t xml:space="preserve">The camera is blinded with high-intensity light or a laser, or its view is covered, so the lead vehicle is not detected.</t>
  </si>
  <si>
    <t xml:space="preserve">Loss of the camera input; safety impact depending on the remaining sensors.</t>
  </si>
  <si>
    <t xml:space="preserve">Radar signals are injected or replayed to create ghost targets or to change the measured distance and relative speed of the lead vehicle.</t>
  </si>
  <si>
    <t xml:space="preserve">Radar is the main distance and speed source for ACC; can cause phantom braking or late braking. High safety impact.</t>
  </si>
  <si>
    <t xml:space="preserve">The radar mounting angle is changed or its firmware or calibration data is modified, causing systematic range or angle errors.</t>
  </si>
  <si>
    <t xml:space="preserve">Persistent error in the primary ACC measurement; safety impact.</t>
  </si>
  <si>
    <t xml:space="preserve">Radar measurements are intercepted.</t>
  </si>
  <si>
    <t xml:space="preserve">Radar measurements have little confidentiality value; no effect on vehicle behavior.</t>
  </si>
  <si>
    <t xml:space="preserve">RF jamming raises the noise floor so that targets, including the lead vehicle, are lost.</t>
  </si>
  <si>
    <t xml:space="preserve">Loss of the main distance measurement; safety impact.</t>
  </si>
  <si>
    <t xml:space="preserve">Fake laser returns are injected to create non-existent objects, or relay and timing attacks remove real objects from the point cloud.</t>
  </si>
  <si>
    <t xml:space="preserve">Changes the objects detected around the vehicle; safety impact.</t>
  </si>
  <si>
    <t xml:space="preserve">The LIDAR is misaligned or its firmware or calibration data is modified.</t>
  </si>
  <si>
    <t xml:space="preserve">Persistent errors in the point cloud; safety impact.</t>
  </si>
  <si>
    <t xml:space="preserve">LIDAR point cloud data is intercepted.</t>
  </si>
  <si>
    <t xml:space="preserve">Point cloud data has little confidentiality value; no effect on vehicle behavior.</t>
  </si>
  <si>
    <t xml:space="preserve">The LIDAR receiver is saturated or blinded with a laser source, so no valid points are produced.</t>
  </si>
  <si>
    <t xml:space="preserve">Loss of the LIDAR input; safety impact depending on the remaining sensors.</t>
  </si>
  <si>
    <t xml:space="preserve">Hardware Part</t>
  </si>
  <si>
    <t xml:space="preserve">Forged V2X messages (e.g., a non-existent braking vehicle ahead) or messages from many fake identities (Sybil attack) are accepted by the OBU and forwarded to the Perception Module.</t>
  </si>
  <si>
    <t xml:space="preserve">The OBU is an external wireless interface; forged data can cause unnecessary braking or suppress real warnings. Safety impact.</t>
  </si>
  <si>
    <t xml:space="preserve">The OBU firmware, its stored certificates and keys, or the content of received V2X messages is modified.</t>
  </si>
  <si>
    <t xml:space="preserve">Undermines trust in all V2X input; safety impact.</t>
  </si>
  <si>
    <t xml:space="preserve">A malicious vehicle or roadside unit denies having sent a harmful message because messages are not signed or signatures are not verified, which prevents misbehavior reporting.</t>
  </si>
  <si>
    <t xml:space="preserve">Non-repudiation is a design goal of V2X security (signed messages, misbehavior detection); relevant for the only external communication interface.</t>
  </si>
  <si>
    <t xml:space="preserve">Broadcast V2X data (position, speed, identifiers) is used to track the vehicle, or private keys are extracted from the OBU.</t>
  </si>
  <si>
    <t xml:space="preserve">Privacy impact for the driver; extracted keys also enable message spoofing (TS-25).</t>
  </si>
  <si>
    <t xml:space="preserve">The V2X channel is jammed or the OBU is flooded with messages or signature verification requests.</t>
  </si>
  <si>
    <t xml:space="preserve">V2X input is lost and ACC falls back to on-board sensors; operational and possible safety impact.</t>
  </si>
  <si>
    <t xml:space="preserve">The OBU wireless interface is exploited remotely to gain privileged access, and the OBU is then used as an entry point to reach the Perception Module or AI Controller Module.</t>
  </si>
  <si>
    <t xml:space="preserve">Remote attack path into the ACC; high impact and a typical first step of multi-stage attacks.</t>
  </si>
  <si>
    <t xml:space="preserve">A malicious node impersonates the Actuation Module and sends brake, throttle or AEB commands directly to the actuators.</t>
  </si>
  <si>
    <t xml:space="preserve">Direct control of vehicle motion; high safety impact.</t>
  </si>
  <si>
    <t xml:space="preserve">The logic that translates AI decisions into actuator commands, or its safety limits (maximum acceleration or deceleration, plausibility checks), is modified.</t>
  </si>
  <si>
    <t xml:space="preserve">Removes the last software safeguard before the actuators; high safety impact.</t>
  </si>
  <si>
    <t xml:space="preserve">The Actuation Module could deny having sent a given actuator command.</t>
  </si>
  <si>
    <t xml:space="preserve">Executes commands from the AI Controller without own decisions; decision traceability is covered at TS-03. Not carried into risk assessment.</t>
  </si>
  <si>
    <t xml:space="preserve">Actuation logic or command data is read out.</t>
  </si>
  <si>
    <t xml:space="preserve">Little confidentiality value; no effect on vehicle behavior.</t>
  </si>
  <si>
    <t xml:space="preserve">The module is overloaded or crashed, so AI decisions are not executed (e.g., no deceleration when the lead vehicle brakes).</t>
  </si>
  <si>
    <t xml:space="preserve">Loss of ACC actuation while driving; safety impact.</t>
  </si>
  <si>
    <t xml:space="preserve">A vulnerability is exploited to gain privileged control of the module and therefore unrestricted control of brake, throttle and AEB commands.</t>
  </si>
  <si>
    <t xml:space="preserve">Unrestricted control of longitudinal motion; highest safety impact.</t>
  </si>
  <si>
    <t xml:space="preserve">Actuator</t>
  </si>
  <si>
    <t xml:space="preserve">The brake actuator firmware or hardware is manipulated so that brake requests are ignored, weakened or applied without a request.</t>
  </si>
  <si>
    <t xml:space="preserve">Direct safety impact (collision or rear-end risk).</t>
  </si>
  <si>
    <t xml:space="preserve">The brake actuator is made unavailable (e.g., forced into a fault state or blocked by bus load), so ACC cannot decelerate.</t>
  </si>
  <si>
    <t xml:space="preserve">ACC cannot slow down behind a braking vehicle; high safety impact.</t>
  </si>
  <si>
    <t xml:space="preserve">The throttle actuator is manipulated so it opens more than commanded or ignores requests to close.</t>
  </si>
  <si>
    <t xml:space="preserve">Unintended acceleration; high safety impact.</t>
  </si>
  <si>
    <t xml:space="preserve">The throttle actuator is made unavailable, so ACC cannot hold or regain the set speed.</t>
  </si>
  <si>
    <t xml:space="preserve">Mainly operational impact (ACC cannot maintain speed); kept because the throttle's behavior in a fault state determines the safety impact.</t>
  </si>
  <si>
    <t xml:space="preserve">A malicious node impersonates the AEB unit, e.g., reporting AEB as available while it is disabled, or triggers emergency braking on its behalf.</t>
  </si>
  <si>
    <t xml:space="preserve">Unintended emergency braking or false confidence in AEB; high safety impact.</t>
  </si>
  <si>
    <t xml:space="preserve">AEB is disabled or its activation thresholds (e.g., time-to-collision) are changed.</t>
  </si>
  <si>
    <t xml:space="preserve">Removes the last collision-avoidance safeguard; high safety impact.</t>
  </si>
  <si>
    <t xml:space="preserve">The AEB unit could deny having triggered or suppressed an emergency braking event.</t>
  </si>
  <si>
    <t xml:space="preserve">AEB acts on requests from the Actuation Module; decision traceability is covered at TS-03. Not carried into risk assessment.</t>
  </si>
  <si>
    <t xml:space="preserve">AEB configuration or status data is read out.</t>
  </si>
  <si>
    <t xml:space="preserve">The AEB unit is made unavailable so it cannot activate when a collision is imminent.</t>
  </si>
  <si>
    <t xml:space="preserve">Loss of the emergency safeguard; high safety impact.</t>
  </si>
  <si>
    <t xml:space="preserve">Privileged access to the AEB unit is gained (e.g., via an unprotected diagnostic session) to reprogram it.</t>
  </si>
  <si>
    <t xml:space="preserve">Full control over emergency braking; high safety impact.</t>
  </si>
  <si>
    <t xml:space="preserve">Connection</t>
  </si>
  <si>
    <t xml:space="preserve">An attacker with access to the link (compromised node on the same bus, physical tap, manipulated link interface) injects fabricated video frames that the receiver accepts as genuine. Fake frames can show a non-existent vehicle or hide the real lead vehicle.</t>
  </si>
  <si>
    <t xml:space="preserve">Corrupts a primary input of the AI-based detection; safety impact.</t>
  </si>
  <si>
    <t xml:space="preserve">Messages carrying video frames are modified, replayed or delayed on the link (e.g., by a compromised gateway or node). Fake frames can show a non-existent vehicle or hide the real lead vehicle.</t>
  </si>
  <si>
    <t xml:space="preserve">Video frames is read from the link by an attacker.</t>
  </si>
  <si>
    <t xml:space="preserve">Privacy of camera footage is handled as in TS-15; no effect on vehicle behavior.</t>
  </si>
  <si>
    <t xml:space="preserve">The link is disrupted by message flooding, bus-off attacks, jamming or physical disconnection, so video frames does not reach the receiver in time. Perception loses the camera input and must rely on the other sensors.</t>
  </si>
  <si>
    <t xml:space="preserve">An attacker with access to the link (compromised node on the same bus, physical tap, manipulated link interface) injects fabricated radar target data (distance, relative speed, angle) that the receiver accepts as genuine. Fake or altered targets can trigger unnecessary braking or hide the lead vehicle.</t>
  </si>
  <si>
    <t xml:space="preserve">Corrupts the main ACC distance and speed input; high safety impact.</t>
  </si>
  <si>
    <t xml:space="preserve">Messages carrying radar target data (distance, relative speed, angle) are modified, replayed or delayed on the link (e.g., by a compromised gateway or node). Fake or altered targets can trigger unnecessary braking or hide the lead vehicle.</t>
  </si>
  <si>
    <t xml:space="preserve">Radar target data (distance, relative speed, angle) is read from the link by an attacker.</t>
  </si>
  <si>
    <t xml:space="preserve">Radar data has little confidentiality value; no effect on vehicle behavior.</t>
  </si>
  <si>
    <t xml:space="preserve">The link is disrupted by message flooding, bus-off attacks, jamming or physical disconnection, so radar target data (distance, relative speed, angle) does not reach the receiver in time. Perception loses the main distance and speed measurement.</t>
  </si>
  <si>
    <t xml:space="preserve">An attacker with access to the link (compromised node on the same bus, physical tap, manipulated link interface) injects fabricated LIDAR point cloud data that the receiver accepts as genuine. Fake or removed points change the objects detected around the vehicle.</t>
  </si>
  <si>
    <t xml:space="preserve">Corrupts a perception input; safety impact.</t>
  </si>
  <si>
    <t xml:space="preserve">Messages carrying LIDAR point cloud data are modified, replayed or delayed on the link (e.g., by a compromised gateway or node). Fake or removed points change the objects detected around the vehicle.</t>
  </si>
  <si>
    <t xml:space="preserve">LIDAR point cloud data is read from the link by an attacker.</t>
  </si>
  <si>
    <t xml:space="preserve">The link is disrupted by message flooding, bus-off attacks, jamming or physical disconnection, so LIDAR point cloud data does not reach the receiver in time. Perception loses the LIDAR input.</t>
  </si>
  <si>
    <t xml:space="preserve">An attacker with access to the link (compromised node on the same bus, physical tap, manipulated link interface) injects fabricated V2X data forwarded by the OBU (position, speed and braking status of surrounding vehicles) that the receiver accepts as genuine. Fake V2X data can report a non-existent braking vehicle ahead or suppress a real warning.</t>
  </si>
  <si>
    <t xml:space="preserve">Bypasses the V2X message checks done at the OBU; safety impact.</t>
  </si>
  <si>
    <t xml:space="preserve">Messages carrying V2X data forwarded by the OBU (position, speed and braking status of surrounding vehicles) are modified, replayed or delayed on the link (e.g., by a compromised gateway or node). Fake V2X data can report a non-existent braking vehicle ahead or suppress a real warning.</t>
  </si>
  <si>
    <t xml:space="preserve">V2X data forwarded by the OBU (position, speed and braking status of surrounding vehicles) is read from the link by an attacker.</t>
  </si>
  <si>
    <t xml:space="preserve">Privacy-relevant V2X content is covered at the OBU (TS-28); disclosure on this internal link does not affect vehicle behavior.</t>
  </si>
  <si>
    <t xml:space="preserve">The link is disrupted by message flooding, bus-off attacks, jamming or physical disconnection, so V2X data forwarded by the OBU (position, speed and braking status of surrounding vehicles) does not reach the receiver in time. V2X information is lost and ACC falls back to on-board sensors.</t>
  </si>
  <si>
    <t xml:space="preserve">Loss of V2X input; operational and possible safety impact.</t>
  </si>
  <si>
    <t xml:space="preserve">An attacker with access to the link (compromised node on the same bus, physical tap, manipulated link interface) injects fabricated the fused object list (lead vehicle distance and relative speed) that the receiver accepts as genuine. The AI Controller receives a false distance or relative speed of the lead vehicle.</t>
  </si>
  <si>
    <t xml:space="preserve">Single path of all environment data into the AI decision; high safety impact.</t>
  </si>
  <si>
    <t xml:space="preserve">Messages carrying the fused object list (lead vehicle distance and relative speed) are modified, replayed or delayed on the link (e.g., by a compromised gateway or node). The AI Controller receives a false distance or relative speed of the lead vehicle.</t>
  </si>
  <si>
    <t xml:space="preserve">The fused object list (lead vehicle distance and relative speed) is read from the link by an attacker.</t>
  </si>
  <si>
    <t xml:space="preserve">Object data has little confidentiality value; no effect on vehicle behavior.</t>
  </si>
  <si>
    <t xml:space="preserve">The link is disrupted by message flooding, bus-off attacks, jamming or physical disconnection, so the fused object list (lead vehicle distance and relative speed) does not reach the receiver in time. The AI Controller has no current view of the lead vehicle.</t>
  </si>
  <si>
    <t xml:space="preserve">No current environment model for decisions; safety impact.</t>
  </si>
  <si>
    <t xml:space="preserve">An attacker with access to the link (compromised node on the same bus, physical tap, manipulated link interface) injects fabricated ACC control commands (target acceleration or deceleration) that the receiver accepts as genuine. Fake or altered acceleration and deceleration requests are executed by the Actuation Module; this is the most direct path to unintended vehicle motion.</t>
  </si>
  <si>
    <t xml:space="preserve">Most direct path to unintended vehicle motion; highest safety impact.</t>
  </si>
  <si>
    <t xml:space="preserve">Messages carrying ACC control commands (target acceleration or deceleration) are modified, replayed or delayed on the link (e.g., by a compromised gateway or node). Fake or altered acceleration and deceleration requests are executed by the Actuation Module; this is the most direct path to unintended vehicle motion.</t>
  </si>
  <si>
    <t xml:space="preserve">ACC control commands (target acceleration or deceleration) is read from the link by an attacker.</t>
  </si>
  <si>
    <t xml:space="preserve">Commands have little confidentiality value; no effect on vehicle behavior.</t>
  </si>
  <si>
    <t xml:space="preserve">The link is disrupted by message flooding, bus-off attacks, jamming or physical disconnection, so ACC control commands (target acceleration or deceleration) does not reach the receiver in time. ACC commands are not executed, e.g., no deceleration when the lead vehicle brakes.</t>
  </si>
  <si>
    <t xml:space="preserve">ACC decisions are not executed; safety impact.</t>
  </si>
  <si>
    <t xml:space="preserve">An attacker with access to the link (compromised node on the same bus, physical tap, manipulated link interface) injects fabricated brake requests that the receiver accepts as genuine. The brake is applied without reason or a needed braking request is suppressed.</t>
  </si>
  <si>
    <t xml:space="preserve">Unintended or suppressed braking; high safety impact.</t>
  </si>
  <si>
    <t xml:space="preserve">Messages carrying brake requests are modified, replayed or delayed on the link (e.g., by a compromised gateway or node). The brake is applied without reason or a needed braking request is suppressed.</t>
  </si>
  <si>
    <t xml:space="preserve">Brake requests is read from the link by an attacker.</t>
  </si>
  <si>
    <t xml:space="preserve">Brake requests have little confidentiality value; no effect on vehicle behavior.</t>
  </si>
  <si>
    <t xml:space="preserve">The link is disrupted by message flooding, bus-off attacks, jamming or physical disconnection, so brake requests does not reach the receiver in time. The brake does not respond to deceleration requests.</t>
  </si>
  <si>
    <t xml:space="preserve">ACC cannot decelerate; high safety impact.</t>
  </si>
  <si>
    <t xml:space="preserve">An attacker with access to the link (compromised node on the same bus, physical tap, manipulated link interface) injects fabricated throttle requests that the receiver accepts as genuine. The throttle opens without reason, causing unintended acceleration.</t>
  </si>
  <si>
    <t xml:space="preserve">Messages carrying throttle requests are modified, replayed or delayed on the link (e.g., by a compromised gateway or node). The throttle opens without reason, causing unintended acceleration.</t>
  </si>
  <si>
    <t xml:space="preserve">Throttle requests is read from the link by an attacker.</t>
  </si>
  <si>
    <t xml:space="preserve">Throttle requests have little confidentiality value; no effect on vehicle behavior.</t>
  </si>
  <si>
    <t xml:space="preserve">The link is disrupted by message flooding, bus-off attacks, jamming or physical disconnection, so throttle requests does not reach the receiver in time. Throttle requests are not executed.</t>
  </si>
  <si>
    <t xml:space="preserve">Mainly operational impact (speed cannot be maintained); kept because the fault behavior determines the safety impact.</t>
  </si>
  <si>
    <t xml:space="preserve">An attacker with access to the link (compromised node on the same bus, physical tap, manipulated link interface) injects fabricated emergency braking requests that the receiver accepts as genuine. Emergency braking is triggered without reason or a needed activation is suppressed.</t>
  </si>
  <si>
    <t xml:space="preserve">Unintended or suppressed emergency braking; high safety impact.</t>
  </si>
  <si>
    <t xml:space="preserve">Messages carrying emergency braking requests are modified, replayed or delayed on the link (e.g., by a compromised gateway or node). Emergency braking is triggered without reason or a needed activation is suppressed.</t>
  </si>
  <si>
    <t xml:space="preserve">Emergency braking requests is read from the link by an attacker.</t>
  </si>
  <si>
    <t xml:space="preserve">AEB requests have little confidentiality value; no effect on vehicle behavior.</t>
  </si>
  <si>
    <t xml:space="preserve">The link is disrupted by message flooding, bus-off attacks, jamming or physical disconnection, so emergency braking requests does not reach the receiver in time. AEB requests do not reach the AEB unit when a collision is imminent.</t>
  </si>
  <si>
    <t xml:space="preserve">TARA of AI-based ACC - AI engine pass (STRIDE)</t>
  </si>
  <si>
    <t xml:space="preserve">Scope</t>
  </si>
  <si>
    <t xml:space="preserve">Assets are the elements and connections of the medini analyze model: AI Controller Module (Software Unit), Perception Module and Actuation Module (Components), Camera, Radar and LIDAR (Sensors), OBU and AEB (Hardware Parts), Brake and Throttle (Actuators), and the 9 connections between their ports.</t>
  </si>
  <si>
    <t xml:space="preserve">Mapping to general architecture</t>
  </si>
  <si>
    <t xml:space="preserve">Upper level (Data Acquisition &amp; Preprocessing Sub-Module, AI Decision Engine Sub-Module) = AI Controller Module. Lower level = Perception Sub-Module and Actuation Sub-Module with their sensors, hardware parts and actuators. Threats against the two upper-level sub-modules are described inside the AI Controller Module threats.</t>
  </si>
  <si>
    <t xml:space="preserve">Not in the medini model</t>
  </si>
  <si>
    <t xml:space="preserve">The general architecture also shows a direct Perception → Actuation link and the Continuous Vehicle Dynamics Monitoring Module feedback loop. Neither exists in the medini model, so both are left out to keep the asset set identical for the comparison.</t>
  </si>
  <si>
    <t xml:space="preserve">To Be Assessed rule</t>
  </si>
  <si>
    <t xml:space="preserve">True: a successful attack can plausibly cause safety, financial, operational or privacy damage relevant to the ACC function, or directly enables such an attack. False: the STRIDE category applies in principle, but the impact is negligible or the concern is covered by another threat (referenced by ID in Threat Details).</t>
  </si>
  <si>
    <t xml:space="preserve">STRIDE category → security property</t>
  </si>
  <si>
    <t xml:space="preserve">STRIDE Category</t>
  </si>
  <si>
    <t xml:space="preserve">Categories applied per element type</t>
  </si>
  <si>
    <t xml:space="preserve">Categories</t>
  </si>
  <si>
    <t xml:space="preserve">Software Unit, Component, Hardware Part (OBU, AEB)</t>
  </si>
  <si>
    <t xml:space="preserve">S, T, R, I, D, E - processing elements that take or execute decisions and hold software</t>
  </si>
  <si>
    <t xml:space="preserve">Sensor (Camera, Radar, LIDAR)</t>
  </si>
  <si>
    <t xml:space="preserve">S, T, I, D - no attributable actions (R) and no privilege model (E)</t>
  </si>
  <si>
    <t xml:space="preserve">Actuator (Brake, Throttle)</t>
  </si>
  <si>
    <t xml:space="preserve">T, D - only receive commands; command spoofing is covered on the connections</t>
  </si>
  <si>
    <t xml:space="preserve">S, T, I, D - data in transit; R and E apply to the endpoints</t>
  </si>
  <si>
    <t xml:space="preserve">Summary (calculated from the TARA sheet)</t>
  </si>
  <si>
    <t xml:space="preserve">Threats</t>
  </si>
  <si>
    <t xml:space="preserve">Assessed (True)</t>
  </si>
  <si>
    <t xml:space="preserve">Not assessed (False)</t>
  </si>
  <si>
    <t xml:space="preserve">Total</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</si>
</sst>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3"/>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808080"/>
          <bgColor rgb="FF000000"/>
        </patternFill>
      </fill>
    </dxf>
    <dxf>
      <fill>
        <patternFill patternType="solid">
          <fgColor rgb="FFFFFFFF"/>
          <bgColor rgb="FF000000"/>
        </patternFill>
      </fill>
    </dxf>
    <dxf>
      <font>
        <color rgb="FF808080"/>
      </font>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2"/>
    <col collapsed="false" customWidth="true" hidden="false" outlineLevel="0" max="3" min="3" style="0" width="48"/>
    <col collapsed="false" customWidth="true" hidden="false" outlineLevel="0" max="4" min="4" style="0" width="16"/>
    <col collapsed="false" customWidth="true" hidden="false" outlineLevel="0" max="5" min="5" style="0" width="22"/>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2" t="s">
        <v>5</v>
      </c>
      <c r="B2" s="3" t="s">
        <v>6</v>
      </c>
      <c r="C2" s="3" t="s">
        <v>7</v>
      </c>
      <c r="D2" s="2" t="s">
        <v>8</v>
      </c>
      <c r="E2" s="3" t="s">
        <v>9</v>
      </c>
    </row>
    <row r="3" customFormat="false" ht="15" hidden="false" customHeight="false" outlineLevel="0" collapsed="false">
      <c r="A3" s="2" t="s">
        <v>10</v>
      </c>
      <c r="B3" s="3" t="s">
        <v>11</v>
      </c>
      <c r="C3" s="3" t="s">
        <v>7</v>
      </c>
      <c r="D3" s="2" t="s">
        <v>8</v>
      </c>
      <c r="E3" s="3" t="s">
        <v>12</v>
      </c>
    </row>
    <row r="4" customFormat="false" ht="15" hidden="false" customHeight="false" outlineLevel="0" collapsed="false">
      <c r="A4" s="2" t="s">
        <v>13</v>
      </c>
      <c r="B4" s="3" t="s">
        <v>14</v>
      </c>
      <c r="C4" s="3" t="s">
        <v>7</v>
      </c>
      <c r="D4" s="2" t="s">
        <v>8</v>
      </c>
      <c r="E4" s="3" t="s">
        <v>15</v>
      </c>
    </row>
    <row r="5" customFormat="false" ht="15" hidden="false" customHeight="false" outlineLevel="0" collapsed="false">
      <c r="A5" s="2" t="s">
        <v>16</v>
      </c>
      <c r="B5" s="3" t="s">
        <v>17</v>
      </c>
      <c r="C5" s="3" t="s">
        <v>7</v>
      </c>
      <c r="D5" s="2" t="s">
        <v>8</v>
      </c>
      <c r="E5" s="3" t="s">
        <v>18</v>
      </c>
    </row>
    <row r="6" customFormat="false" ht="15" hidden="false" customHeight="false" outlineLevel="0" collapsed="false">
      <c r="A6" s="2" t="s">
        <v>19</v>
      </c>
      <c r="B6" s="3" t="s">
        <v>20</v>
      </c>
      <c r="C6" s="3" t="s">
        <v>7</v>
      </c>
      <c r="D6" s="2" t="s">
        <v>8</v>
      </c>
      <c r="E6" s="3" t="s">
        <v>21</v>
      </c>
    </row>
    <row r="7" customFormat="false" ht="15" hidden="false" customHeight="false" outlineLevel="0" collapsed="false">
      <c r="A7" s="2" t="s">
        <v>22</v>
      </c>
      <c r="B7" s="3" t="s">
        <v>23</v>
      </c>
      <c r="C7" s="3" t="s">
        <v>7</v>
      </c>
      <c r="D7" s="2" t="s">
        <v>8</v>
      </c>
      <c r="E7" s="3" t="s">
        <v>24</v>
      </c>
    </row>
    <row r="8" customFormat="false" ht="15" hidden="false" customHeight="false" outlineLevel="0" collapsed="false">
      <c r="A8" s="2" t="s">
        <v>25</v>
      </c>
      <c r="B8" s="3" t="s">
        <v>26</v>
      </c>
      <c r="C8" s="3" t="s">
        <v>27</v>
      </c>
      <c r="D8" s="2" t="s">
        <v>8</v>
      </c>
      <c r="E8" s="3" t="s">
        <v>9</v>
      </c>
    </row>
    <row r="9" customFormat="false" ht="23.85" hidden="false" customHeight="false" outlineLevel="0" collapsed="false">
      <c r="A9" s="2" t="s">
        <v>28</v>
      </c>
      <c r="B9" s="3" t="s">
        <v>29</v>
      </c>
      <c r="C9" s="3" t="s">
        <v>27</v>
      </c>
      <c r="D9" s="2" t="s">
        <v>8</v>
      </c>
      <c r="E9" s="3" t="s">
        <v>12</v>
      </c>
    </row>
    <row r="10" customFormat="false" ht="15" hidden="false" customHeight="false" outlineLevel="0" collapsed="false">
      <c r="A10" s="2" t="s">
        <v>30</v>
      </c>
      <c r="B10" s="3" t="s">
        <v>31</v>
      </c>
      <c r="C10" s="3" t="s">
        <v>27</v>
      </c>
      <c r="D10" s="2" t="s">
        <v>32</v>
      </c>
      <c r="E10" s="3" t="s">
        <v>15</v>
      </c>
    </row>
    <row r="11" customFormat="false" ht="15" hidden="false" customHeight="false" outlineLevel="0" collapsed="false">
      <c r="A11" s="2" t="s">
        <v>33</v>
      </c>
      <c r="B11" s="3" t="s">
        <v>34</v>
      </c>
      <c r="C11" s="3" t="s">
        <v>27</v>
      </c>
      <c r="D11" s="2" t="s">
        <v>32</v>
      </c>
      <c r="E11" s="3" t="s">
        <v>18</v>
      </c>
    </row>
    <row r="12" customFormat="false" ht="15" hidden="false" customHeight="false" outlineLevel="0" collapsed="false">
      <c r="A12" s="2" t="s">
        <v>35</v>
      </c>
      <c r="B12" s="3" t="s">
        <v>36</v>
      </c>
      <c r="C12" s="3" t="s">
        <v>27</v>
      </c>
      <c r="D12" s="2" t="s">
        <v>8</v>
      </c>
      <c r="E12" s="3" t="s">
        <v>21</v>
      </c>
    </row>
    <row r="13" customFormat="false" ht="15" hidden="false" customHeight="false" outlineLevel="0" collapsed="false">
      <c r="A13" s="2" t="s">
        <v>37</v>
      </c>
      <c r="B13" s="3" t="s">
        <v>38</v>
      </c>
      <c r="C13" s="3" t="s">
        <v>27</v>
      </c>
      <c r="D13" s="2" t="s">
        <v>8</v>
      </c>
      <c r="E13" s="3" t="s">
        <v>24</v>
      </c>
    </row>
    <row r="14" customFormat="false" ht="23.85" hidden="false" customHeight="false" outlineLevel="0" collapsed="false">
      <c r="A14" s="2" t="s">
        <v>39</v>
      </c>
      <c r="B14" s="3" t="s">
        <v>40</v>
      </c>
      <c r="C14" s="3" t="s">
        <v>41</v>
      </c>
      <c r="D14" s="2" t="s">
        <v>8</v>
      </c>
      <c r="E14" s="3" t="s">
        <v>9</v>
      </c>
    </row>
    <row r="15" customFormat="false" ht="23.85" hidden="false" customHeight="false" outlineLevel="0" collapsed="false">
      <c r="A15" s="2" t="s">
        <v>42</v>
      </c>
      <c r="B15" s="3" t="s">
        <v>43</v>
      </c>
      <c r="C15" s="3" t="s">
        <v>41</v>
      </c>
      <c r="D15" s="2" t="s">
        <v>8</v>
      </c>
      <c r="E15" s="3" t="s">
        <v>12</v>
      </c>
    </row>
    <row r="16" customFormat="false" ht="15" hidden="false" customHeight="false" outlineLevel="0" collapsed="false">
      <c r="A16" s="2" t="s">
        <v>44</v>
      </c>
      <c r="B16" s="3" t="s">
        <v>45</v>
      </c>
      <c r="C16" s="3" t="s">
        <v>41</v>
      </c>
      <c r="D16" s="2" t="s">
        <v>32</v>
      </c>
      <c r="E16" s="3" t="s">
        <v>18</v>
      </c>
    </row>
    <row r="17" customFormat="false" ht="15" hidden="false" customHeight="false" outlineLevel="0" collapsed="false">
      <c r="A17" s="2" t="s">
        <v>46</v>
      </c>
      <c r="B17" s="3" t="s">
        <v>47</v>
      </c>
      <c r="C17" s="3" t="s">
        <v>41</v>
      </c>
      <c r="D17" s="2" t="s">
        <v>8</v>
      </c>
      <c r="E17" s="3" t="s">
        <v>21</v>
      </c>
    </row>
    <row r="18" customFormat="false" ht="15" hidden="false" customHeight="false" outlineLevel="0" collapsed="false">
      <c r="A18" s="2" t="s">
        <v>48</v>
      </c>
      <c r="B18" s="3" t="s">
        <v>49</v>
      </c>
      <c r="C18" s="3" t="s">
        <v>50</v>
      </c>
      <c r="D18" s="2" t="s">
        <v>8</v>
      </c>
      <c r="E18" s="3" t="s">
        <v>9</v>
      </c>
    </row>
    <row r="19" customFormat="false" ht="15" hidden="false" customHeight="false" outlineLevel="0" collapsed="false">
      <c r="A19" s="2" t="s">
        <v>51</v>
      </c>
      <c r="B19" s="3" t="s">
        <v>52</v>
      </c>
      <c r="C19" s="3" t="s">
        <v>50</v>
      </c>
      <c r="D19" s="2" t="s">
        <v>8</v>
      </c>
      <c r="E19" s="3" t="s">
        <v>12</v>
      </c>
    </row>
    <row r="20" customFormat="false" ht="15" hidden="false" customHeight="false" outlineLevel="0" collapsed="false">
      <c r="A20" s="2" t="s">
        <v>53</v>
      </c>
      <c r="B20" s="3" t="s">
        <v>54</v>
      </c>
      <c r="C20" s="3" t="s">
        <v>50</v>
      </c>
      <c r="D20" s="2" t="s">
        <v>32</v>
      </c>
      <c r="E20" s="3" t="s">
        <v>18</v>
      </c>
    </row>
    <row r="21" customFormat="false" ht="15" hidden="false" customHeight="false" outlineLevel="0" collapsed="false">
      <c r="A21" s="2" t="s">
        <v>55</v>
      </c>
      <c r="B21" s="3" t="s">
        <v>56</v>
      </c>
      <c r="C21" s="3" t="s">
        <v>50</v>
      </c>
      <c r="D21" s="2" t="s">
        <v>8</v>
      </c>
      <c r="E21" s="3" t="s">
        <v>21</v>
      </c>
    </row>
    <row r="22" customFormat="false" ht="15" hidden="false" customHeight="false" outlineLevel="0" collapsed="false">
      <c r="A22" s="2" t="s">
        <v>57</v>
      </c>
      <c r="B22" s="3" t="s">
        <v>58</v>
      </c>
      <c r="C22" s="3" t="s">
        <v>59</v>
      </c>
      <c r="D22" s="2" t="s">
        <v>8</v>
      </c>
      <c r="E22" s="3" t="s">
        <v>9</v>
      </c>
    </row>
    <row r="23" customFormat="false" ht="15" hidden="false" customHeight="false" outlineLevel="0" collapsed="false">
      <c r="A23" s="2" t="s">
        <v>60</v>
      </c>
      <c r="B23" s="3" t="s">
        <v>61</v>
      </c>
      <c r="C23" s="3" t="s">
        <v>59</v>
      </c>
      <c r="D23" s="2" t="s">
        <v>8</v>
      </c>
      <c r="E23" s="3" t="s">
        <v>12</v>
      </c>
    </row>
    <row r="24" customFormat="false" ht="15" hidden="false" customHeight="false" outlineLevel="0" collapsed="false">
      <c r="A24" s="2" t="s">
        <v>62</v>
      </c>
      <c r="B24" s="3" t="s">
        <v>63</v>
      </c>
      <c r="C24" s="3" t="s">
        <v>59</v>
      </c>
      <c r="D24" s="2" t="s">
        <v>32</v>
      </c>
      <c r="E24" s="3" t="s">
        <v>18</v>
      </c>
    </row>
    <row r="25" customFormat="false" ht="15" hidden="false" customHeight="false" outlineLevel="0" collapsed="false">
      <c r="A25" s="2" t="s">
        <v>64</v>
      </c>
      <c r="B25" s="3" t="s">
        <v>65</v>
      </c>
      <c r="C25" s="3" t="s">
        <v>59</v>
      </c>
      <c r="D25" s="2" t="s">
        <v>8</v>
      </c>
      <c r="E25" s="3" t="s">
        <v>21</v>
      </c>
    </row>
    <row r="26" customFormat="false" ht="15" hidden="false" customHeight="false" outlineLevel="0" collapsed="false">
      <c r="A26" s="2" t="s">
        <v>66</v>
      </c>
      <c r="B26" s="3" t="s">
        <v>67</v>
      </c>
      <c r="C26" s="3" t="s">
        <v>68</v>
      </c>
      <c r="D26" s="2" t="s">
        <v>8</v>
      </c>
      <c r="E26" s="3" t="s">
        <v>9</v>
      </c>
    </row>
    <row r="27" customFormat="false" ht="15" hidden="false" customHeight="false" outlineLevel="0" collapsed="false">
      <c r="A27" s="2" t="s">
        <v>69</v>
      </c>
      <c r="B27" s="3" t="s">
        <v>70</v>
      </c>
      <c r="C27" s="3" t="s">
        <v>68</v>
      </c>
      <c r="D27" s="2" t="s">
        <v>8</v>
      </c>
      <c r="E27" s="3" t="s">
        <v>12</v>
      </c>
    </row>
    <row r="28" customFormat="false" ht="15" hidden="false" customHeight="false" outlineLevel="0" collapsed="false">
      <c r="A28" s="2" t="s">
        <v>71</v>
      </c>
      <c r="B28" s="3" t="s">
        <v>72</v>
      </c>
      <c r="C28" s="3" t="s">
        <v>68</v>
      </c>
      <c r="D28" s="2" t="s">
        <v>8</v>
      </c>
      <c r="E28" s="3" t="s">
        <v>15</v>
      </c>
    </row>
    <row r="29" customFormat="false" ht="15" hidden="false" customHeight="false" outlineLevel="0" collapsed="false">
      <c r="A29" s="2" t="s">
        <v>73</v>
      </c>
      <c r="B29" s="3" t="s">
        <v>74</v>
      </c>
      <c r="C29" s="3" t="s">
        <v>68</v>
      </c>
      <c r="D29" s="2" t="s">
        <v>8</v>
      </c>
      <c r="E29" s="3" t="s">
        <v>18</v>
      </c>
    </row>
    <row r="30" customFormat="false" ht="15" hidden="false" customHeight="false" outlineLevel="0" collapsed="false">
      <c r="A30" s="2" t="s">
        <v>75</v>
      </c>
      <c r="B30" s="3" t="s">
        <v>76</v>
      </c>
      <c r="C30" s="3" t="s">
        <v>68</v>
      </c>
      <c r="D30" s="2" t="s">
        <v>8</v>
      </c>
      <c r="E30" s="3" t="s">
        <v>21</v>
      </c>
    </row>
    <row r="31" customFormat="false" ht="15" hidden="false" customHeight="false" outlineLevel="0" collapsed="false">
      <c r="A31" s="2" t="s">
        <v>77</v>
      </c>
      <c r="B31" s="3" t="s">
        <v>78</v>
      </c>
      <c r="C31" s="3" t="s">
        <v>68</v>
      </c>
      <c r="D31" s="2" t="s">
        <v>8</v>
      </c>
      <c r="E31" s="3" t="s">
        <v>24</v>
      </c>
    </row>
    <row r="32" customFormat="false" ht="15" hidden="false" customHeight="false" outlineLevel="0" collapsed="false">
      <c r="A32" s="2" t="s">
        <v>79</v>
      </c>
      <c r="B32" s="3" t="s">
        <v>80</v>
      </c>
      <c r="C32" s="3" t="s">
        <v>81</v>
      </c>
      <c r="D32" s="2" t="s">
        <v>8</v>
      </c>
      <c r="E32" s="3" t="s">
        <v>9</v>
      </c>
    </row>
    <row r="33" customFormat="false" ht="23.85" hidden="false" customHeight="false" outlineLevel="0" collapsed="false">
      <c r="A33" s="2" t="s">
        <v>82</v>
      </c>
      <c r="B33" s="3" t="s">
        <v>83</v>
      </c>
      <c r="C33" s="3" t="s">
        <v>81</v>
      </c>
      <c r="D33" s="2" t="s">
        <v>8</v>
      </c>
      <c r="E33" s="3" t="s">
        <v>12</v>
      </c>
    </row>
    <row r="34" customFormat="false" ht="15" hidden="false" customHeight="false" outlineLevel="0" collapsed="false">
      <c r="A34" s="2" t="s">
        <v>84</v>
      </c>
      <c r="B34" s="3" t="s">
        <v>85</v>
      </c>
      <c r="C34" s="3" t="s">
        <v>81</v>
      </c>
      <c r="D34" s="2" t="s">
        <v>32</v>
      </c>
      <c r="E34" s="3" t="s">
        <v>15</v>
      </c>
    </row>
    <row r="35" customFormat="false" ht="15" hidden="false" customHeight="false" outlineLevel="0" collapsed="false">
      <c r="A35" s="2" t="s">
        <v>86</v>
      </c>
      <c r="B35" s="3" t="s">
        <v>87</v>
      </c>
      <c r="C35" s="3" t="s">
        <v>81</v>
      </c>
      <c r="D35" s="2" t="s">
        <v>32</v>
      </c>
      <c r="E35" s="3" t="s">
        <v>18</v>
      </c>
    </row>
    <row r="36" customFormat="false" ht="15" hidden="false" customHeight="false" outlineLevel="0" collapsed="false">
      <c r="A36" s="2" t="s">
        <v>88</v>
      </c>
      <c r="B36" s="3" t="s">
        <v>89</v>
      </c>
      <c r="C36" s="3" t="s">
        <v>81</v>
      </c>
      <c r="D36" s="2" t="s">
        <v>8</v>
      </c>
      <c r="E36" s="3" t="s">
        <v>21</v>
      </c>
    </row>
    <row r="37" customFormat="false" ht="15" hidden="false" customHeight="false" outlineLevel="0" collapsed="false">
      <c r="A37" s="2" t="s">
        <v>90</v>
      </c>
      <c r="B37" s="3" t="s">
        <v>91</v>
      </c>
      <c r="C37" s="3" t="s">
        <v>81</v>
      </c>
      <c r="D37" s="2" t="s">
        <v>8</v>
      </c>
      <c r="E37" s="3" t="s">
        <v>24</v>
      </c>
    </row>
    <row r="38" customFormat="false" ht="15" hidden="false" customHeight="false" outlineLevel="0" collapsed="false">
      <c r="A38" s="2" t="s">
        <v>92</v>
      </c>
      <c r="B38" s="3" t="s">
        <v>93</v>
      </c>
      <c r="C38" s="3" t="s">
        <v>94</v>
      </c>
      <c r="D38" s="2" t="s">
        <v>8</v>
      </c>
      <c r="E38" s="3" t="s">
        <v>12</v>
      </c>
    </row>
    <row r="39" customFormat="false" ht="15" hidden="false" customHeight="false" outlineLevel="0" collapsed="false">
      <c r="A39" s="2" t="s">
        <v>95</v>
      </c>
      <c r="B39" s="3" t="s">
        <v>96</v>
      </c>
      <c r="C39" s="3" t="s">
        <v>94</v>
      </c>
      <c r="D39" s="2" t="s">
        <v>8</v>
      </c>
      <c r="E39" s="3" t="s">
        <v>21</v>
      </c>
    </row>
    <row r="40" customFormat="false" ht="15" hidden="false" customHeight="false" outlineLevel="0" collapsed="false">
      <c r="A40" s="2" t="s">
        <v>97</v>
      </c>
      <c r="B40" s="3" t="s">
        <v>98</v>
      </c>
      <c r="C40" s="3" t="s">
        <v>99</v>
      </c>
      <c r="D40" s="2" t="s">
        <v>8</v>
      </c>
      <c r="E40" s="3" t="s">
        <v>12</v>
      </c>
    </row>
    <row r="41" customFormat="false" ht="15" hidden="false" customHeight="false" outlineLevel="0" collapsed="false">
      <c r="A41" s="2" t="s">
        <v>100</v>
      </c>
      <c r="B41" s="3" t="s">
        <v>101</v>
      </c>
      <c r="C41" s="3" t="s">
        <v>99</v>
      </c>
      <c r="D41" s="2" t="s">
        <v>8</v>
      </c>
      <c r="E41" s="3" t="s">
        <v>21</v>
      </c>
    </row>
    <row r="42" customFormat="false" ht="15" hidden="false" customHeight="false" outlineLevel="0" collapsed="false">
      <c r="A42" s="2" t="s">
        <v>102</v>
      </c>
      <c r="B42" s="3" t="s">
        <v>103</v>
      </c>
      <c r="C42" s="3" t="s">
        <v>104</v>
      </c>
      <c r="D42" s="2" t="s">
        <v>8</v>
      </c>
      <c r="E42" s="3" t="s">
        <v>9</v>
      </c>
    </row>
    <row r="43" customFormat="false" ht="15" hidden="false" customHeight="false" outlineLevel="0" collapsed="false">
      <c r="A43" s="2" t="s">
        <v>105</v>
      </c>
      <c r="B43" s="3" t="s">
        <v>106</v>
      </c>
      <c r="C43" s="3" t="s">
        <v>104</v>
      </c>
      <c r="D43" s="2" t="s">
        <v>8</v>
      </c>
      <c r="E43" s="3" t="s">
        <v>12</v>
      </c>
    </row>
    <row r="44" customFormat="false" ht="15" hidden="false" customHeight="false" outlineLevel="0" collapsed="false">
      <c r="A44" s="2" t="s">
        <v>107</v>
      </c>
      <c r="B44" s="3" t="s">
        <v>108</v>
      </c>
      <c r="C44" s="3" t="s">
        <v>104</v>
      </c>
      <c r="D44" s="2" t="s">
        <v>32</v>
      </c>
      <c r="E44" s="3" t="s">
        <v>15</v>
      </c>
    </row>
    <row r="45" customFormat="false" ht="15" hidden="false" customHeight="false" outlineLevel="0" collapsed="false">
      <c r="A45" s="2" t="s">
        <v>109</v>
      </c>
      <c r="B45" s="3" t="s">
        <v>110</v>
      </c>
      <c r="C45" s="3" t="s">
        <v>104</v>
      </c>
      <c r="D45" s="2" t="s">
        <v>32</v>
      </c>
      <c r="E45" s="3" t="s">
        <v>18</v>
      </c>
    </row>
    <row r="46" customFormat="false" ht="15" hidden="false" customHeight="false" outlineLevel="0" collapsed="false">
      <c r="A46" s="2" t="s">
        <v>111</v>
      </c>
      <c r="B46" s="3" t="s">
        <v>112</v>
      </c>
      <c r="C46" s="3" t="s">
        <v>104</v>
      </c>
      <c r="D46" s="2" t="s">
        <v>8</v>
      </c>
      <c r="E46" s="3" t="s">
        <v>21</v>
      </c>
    </row>
    <row r="47" customFormat="false" ht="15" hidden="false" customHeight="false" outlineLevel="0" collapsed="false">
      <c r="A47" s="2" t="s">
        <v>113</v>
      </c>
      <c r="B47" s="3" t="s">
        <v>114</v>
      </c>
      <c r="C47" s="3" t="s">
        <v>104</v>
      </c>
      <c r="D47" s="2" t="s">
        <v>8</v>
      </c>
      <c r="E47" s="3" t="s">
        <v>24</v>
      </c>
    </row>
    <row r="48" customFormat="false" ht="15" hidden="false" customHeight="false" outlineLevel="0" collapsed="false">
      <c r="A48" s="2" t="s">
        <v>115</v>
      </c>
      <c r="B48" s="3" t="s">
        <v>116</v>
      </c>
      <c r="C48" s="3" t="s">
        <v>117</v>
      </c>
      <c r="D48" s="2" t="s">
        <v>8</v>
      </c>
      <c r="E48" s="3" t="s">
        <v>9</v>
      </c>
    </row>
    <row r="49" customFormat="false" ht="15" hidden="false" customHeight="false" outlineLevel="0" collapsed="false">
      <c r="A49" s="2" t="s">
        <v>118</v>
      </c>
      <c r="B49" s="3" t="s">
        <v>119</v>
      </c>
      <c r="C49" s="3" t="s">
        <v>117</v>
      </c>
      <c r="D49" s="2" t="s">
        <v>8</v>
      </c>
      <c r="E49" s="3" t="s">
        <v>12</v>
      </c>
    </row>
    <row r="50" customFormat="false" ht="15" hidden="false" customHeight="false" outlineLevel="0" collapsed="false">
      <c r="A50" s="2" t="s">
        <v>120</v>
      </c>
      <c r="B50" s="3" t="s">
        <v>121</v>
      </c>
      <c r="C50" s="3" t="s">
        <v>117</v>
      </c>
      <c r="D50" s="2" t="s">
        <v>32</v>
      </c>
      <c r="E50" s="3" t="s">
        <v>18</v>
      </c>
    </row>
    <row r="51" customFormat="false" ht="23.85" hidden="false" customHeight="false" outlineLevel="0" collapsed="false">
      <c r="A51" s="2" t="s">
        <v>122</v>
      </c>
      <c r="B51" s="3" t="s">
        <v>123</v>
      </c>
      <c r="C51" s="3" t="s">
        <v>117</v>
      </c>
      <c r="D51" s="2" t="s">
        <v>8</v>
      </c>
      <c r="E51" s="3" t="s">
        <v>21</v>
      </c>
    </row>
    <row r="52" customFormat="false" ht="15" hidden="false" customHeight="false" outlineLevel="0" collapsed="false">
      <c r="A52" s="2" t="s">
        <v>124</v>
      </c>
      <c r="B52" s="3" t="s">
        <v>125</v>
      </c>
      <c r="C52" s="3" t="s">
        <v>126</v>
      </c>
      <c r="D52" s="2" t="s">
        <v>8</v>
      </c>
      <c r="E52" s="3" t="s">
        <v>9</v>
      </c>
    </row>
    <row r="53" customFormat="false" ht="15" hidden="false" customHeight="false" outlineLevel="0" collapsed="false">
      <c r="A53" s="2" t="s">
        <v>127</v>
      </c>
      <c r="B53" s="3" t="s">
        <v>128</v>
      </c>
      <c r="C53" s="3" t="s">
        <v>126</v>
      </c>
      <c r="D53" s="2" t="s">
        <v>8</v>
      </c>
      <c r="E53" s="3" t="s">
        <v>12</v>
      </c>
    </row>
    <row r="54" customFormat="false" ht="15" hidden="false" customHeight="false" outlineLevel="0" collapsed="false">
      <c r="A54" s="2" t="s">
        <v>129</v>
      </c>
      <c r="B54" s="3" t="s">
        <v>130</v>
      </c>
      <c r="C54" s="3" t="s">
        <v>126</v>
      </c>
      <c r="D54" s="2" t="s">
        <v>32</v>
      </c>
      <c r="E54" s="3" t="s">
        <v>18</v>
      </c>
    </row>
    <row r="55" customFormat="false" ht="23.85" hidden="false" customHeight="false" outlineLevel="0" collapsed="false">
      <c r="A55" s="2" t="s">
        <v>131</v>
      </c>
      <c r="B55" s="3" t="s">
        <v>132</v>
      </c>
      <c r="C55" s="3" t="s">
        <v>126</v>
      </c>
      <c r="D55" s="2" t="s">
        <v>8</v>
      </c>
      <c r="E55" s="3" t="s">
        <v>21</v>
      </c>
    </row>
    <row r="56" customFormat="false" ht="15" hidden="false" customHeight="false" outlineLevel="0" collapsed="false">
      <c r="A56" s="2" t="s">
        <v>133</v>
      </c>
      <c r="B56" s="3" t="s">
        <v>134</v>
      </c>
      <c r="C56" s="3" t="s">
        <v>135</v>
      </c>
      <c r="D56" s="2" t="s">
        <v>8</v>
      </c>
      <c r="E56" s="3" t="s">
        <v>9</v>
      </c>
    </row>
    <row r="57" customFormat="false" ht="15" hidden="false" customHeight="false" outlineLevel="0" collapsed="false">
      <c r="A57" s="2" t="s">
        <v>136</v>
      </c>
      <c r="B57" s="3" t="s">
        <v>137</v>
      </c>
      <c r="C57" s="3" t="s">
        <v>135</v>
      </c>
      <c r="D57" s="2" t="s">
        <v>8</v>
      </c>
      <c r="E57" s="3" t="s">
        <v>12</v>
      </c>
    </row>
    <row r="58" customFormat="false" ht="15" hidden="false" customHeight="false" outlineLevel="0" collapsed="false">
      <c r="A58" s="2" t="s">
        <v>138</v>
      </c>
      <c r="B58" s="3" t="s">
        <v>139</v>
      </c>
      <c r="C58" s="3" t="s">
        <v>135</v>
      </c>
      <c r="D58" s="2" t="s">
        <v>32</v>
      </c>
      <c r="E58" s="3" t="s">
        <v>18</v>
      </c>
    </row>
    <row r="59" customFormat="false" ht="23.85" hidden="false" customHeight="false" outlineLevel="0" collapsed="false">
      <c r="A59" s="2" t="s">
        <v>140</v>
      </c>
      <c r="B59" s="3" t="s">
        <v>141</v>
      </c>
      <c r="C59" s="3" t="s">
        <v>135</v>
      </c>
      <c r="D59" s="2" t="s">
        <v>8</v>
      </c>
      <c r="E59" s="3" t="s">
        <v>21</v>
      </c>
    </row>
    <row r="60" customFormat="false" ht="15" hidden="false" customHeight="false" outlineLevel="0" collapsed="false">
      <c r="A60" s="2" t="s">
        <v>142</v>
      </c>
      <c r="B60" s="3" t="s">
        <v>143</v>
      </c>
      <c r="C60" s="3" t="s">
        <v>144</v>
      </c>
      <c r="D60" s="2" t="s">
        <v>8</v>
      </c>
      <c r="E60" s="3" t="s">
        <v>9</v>
      </c>
    </row>
    <row r="61" customFormat="false" ht="15" hidden="false" customHeight="false" outlineLevel="0" collapsed="false">
      <c r="A61" s="2" t="s">
        <v>145</v>
      </c>
      <c r="B61" s="3" t="s">
        <v>146</v>
      </c>
      <c r="C61" s="3" t="s">
        <v>144</v>
      </c>
      <c r="D61" s="2" t="s">
        <v>8</v>
      </c>
      <c r="E61" s="3" t="s">
        <v>12</v>
      </c>
    </row>
    <row r="62" customFormat="false" ht="15" hidden="false" customHeight="false" outlineLevel="0" collapsed="false">
      <c r="A62" s="2" t="s">
        <v>147</v>
      </c>
      <c r="B62" s="3" t="s">
        <v>148</v>
      </c>
      <c r="C62" s="3" t="s">
        <v>144</v>
      </c>
      <c r="D62" s="2" t="s">
        <v>32</v>
      </c>
      <c r="E62" s="3" t="s">
        <v>18</v>
      </c>
    </row>
    <row r="63" customFormat="false" ht="23.85" hidden="false" customHeight="false" outlineLevel="0" collapsed="false">
      <c r="A63" s="2" t="s">
        <v>149</v>
      </c>
      <c r="B63" s="3" t="s">
        <v>150</v>
      </c>
      <c r="C63" s="3" t="s">
        <v>144</v>
      </c>
      <c r="D63" s="2" t="s">
        <v>8</v>
      </c>
      <c r="E63" s="3" t="s">
        <v>21</v>
      </c>
    </row>
    <row r="64" customFormat="false" ht="23.85" hidden="false" customHeight="false" outlineLevel="0" collapsed="false">
      <c r="A64" s="2" t="s">
        <v>151</v>
      </c>
      <c r="B64" s="3" t="s">
        <v>152</v>
      </c>
      <c r="C64" s="3" t="s">
        <v>153</v>
      </c>
      <c r="D64" s="2" t="s">
        <v>8</v>
      </c>
      <c r="E64" s="3" t="s">
        <v>9</v>
      </c>
    </row>
    <row r="65" customFormat="false" ht="23.85" hidden="false" customHeight="false" outlineLevel="0" collapsed="false">
      <c r="A65" s="2" t="s">
        <v>154</v>
      </c>
      <c r="B65" s="3" t="s">
        <v>155</v>
      </c>
      <c r="C65" s="3" t="s">
        <v>153</v>
      </c>
      <c r="D65" s="2" t="s">
        <v>8</v>
      </c>
      <c r="E65" s="3" t="s">
        <v>12</v>
      </c>
    </row>
    <row r="66" customFormat="false" ht="23.85" hidden="false" customHeight="false" outlineLevel="0" collapsed="false">
      <c r="A66" s="2" t="s">
        <v>156</v>
      </c>
      <c r="B66" s="3" t="s">
        <v>157</v>
      </c>
      <c r="C66" s="3" t="s">
        <v>153</v>
      </c>
      <c r="D66" s="2" t="s">
        <v>32</v>
      </c>
      <c r="E66" s="3" t="s">
        <v>18</v>
      </c>
    </row>
    <row r="67" customFormat="false" ht="23.85" hidden="false" customHeight="false" outlineLevel="0" collapsed="false">
      <c r="A67" s="2" t="s">
        <v>158</v>
      </c>
      <c r="B67" s="3" t="s">
        <v>159</v>
      </c>
      <c r="C67" s="3" t="s">
        <v>153</v>
      </c>
      <c r="D67" s="2" t="s">
        <v>8</v>
      </c>
      <c r="E67" s="3" t="s">
        <v>21</v>
      </c>
    </row>
    <row r="68" customFormat="false" ht="23.85" hidden="false" customHeight="false" outlineLevel="0" collapsed="false">
      <c r="A68" s="2" t="s">
        <v>160</v>
      </c>
      <c r="B68" s="3" t="s">
        <v>161</v>
      </c>
      <c r="C68" s="3" t="s">
        <v>162</v>
      </c>
      <c r="D68" s="2" t="s">
        <v>8</v>
      </c>
      <c r="E68" s="3" t="s">
        <v>9</v>
      </c>
    </row>
    <row r="69" customFormat="false" ht="23.85" hidden="false" customHeight="false" outlineLevel="0" collapsed="false">
      <c r="A69" s="2" t="s">
        <v>163</v>
      </c>
      <c r="B69" s="3" t="s">
        <v>164</v>
      </c>
      <c r="C69" s="3" t="s">
        <v>162</v>
      </c>
      <c r="D69" s="2" t="s">
        <v>8</v>
      </c>
      <c r="E69" s="3" t="s">
        <v>12</v>
      </c>
    </row>
    <row r="70" customFormat="false" ht="23.85" hidden="false" customHeight="false" outlineLevel="0" collapsed="false">
      <c r="A70" s="2" t="s">
        <v>165</v>
      </c>
      <c r="B70" s="3" t="s">
        <v>166</v>
      </c>
      <c r="C70" s="3" t="s">
        <v>162</v>
      </c>
      <c r="D70" s="2" t="s">
        <v>32</v>
      </c>
      <c r="E70" s="3" t="s">
        <v>18</v>
      </c>
    </row>
    <row r="71" customFormat="false" ht="23.85" hidden="false" customHeight="false" outlineLevel="0" collapsed="false">
      <c r="A71" s="2" t="s">
        <v>167</v>
      </c>
      <c r="B71" s="3" t="s">
        <v>168</v>
      </c>
      <c r="C71" s="3" t="s">
        <v>162</v>
      </c>
      <c r="D71" s="2" t="s">
        <v>8</v>
      </c>
      <c r="E71" s="3" t="s">
        <v>21</v>
      </c>
    </row>
    <row r="72" customFormat="false" ht="15" hidden="false" customHeight="false" outlineLevel="0" collapsed="false">
      <c r="A72" s="2" t="s">
        <v>169</v>
      </c>
      <c r="B72" s="3" t="s">
        <v>170</v>
      </c>
      <c r="C72" s="3" t="s">
        <v>171</v>
      </c>
      <c r="D72" s="2" t="s">
        <v>8</v>
      </c>
      <c r="E72" s="3" t="s">
        <v>9</v>
      </c>
    </row>
    <row r="73" customFormat="false" ht="23.85" hidden="false" customHeight="false" outlineLevel="0" collapsed="false">
      <c r="A73" s="2" t="s">
        <v>172</v>
      </c>
      <c r="B73" s="3" t="s">
        <v>173</v>
      </c>
      <c r="C73" s="3" t="s">
        <v>171</v>
      </c>
      <c r="D73" s="2" t="s">
        <v>8</v>
      </c>
      <c r="E73" s="3" t="s">
        <v>12</v>
      </c>
    </row>
    <row r="74" customFormat="false" ht="15" hidden="false" customHeight="false" outlineLevel="0" collapsed="false">
      <c r="A74" s="2" t="s">
        <v>174</v>
      </c>
      <c r="B74" s="3" t="s">
        <v>175</v>
      </c>
      <c r="C74" s="3" t="s">
        <v>171</v>
      </c>
      <c r="D74" s="2" t="s">
        <v>32</v>
      </c>
      <c r="E74" s="3" t="s">
        <v>18</v>
      </c>
    </row>
    <row r="75" customFormat="false" ht="23.85" hidden="false" customHeight="false" outlineLevel="0" collapsed="false">
      <c r="A75" s="2" t="s">
        <v>176</v>
      </c>
      <c r="B75" s="3" t="s">
        <v>177</v>
      </c>
      <c r="C75" s="3" t="s">
        <v>171</v>
      </c>
      <c r="D75" s="2" t="s">
        <v>8</v>
      </c>
      <c r="E75" s="3" t="s">
        <v>21</v>
      </c>
    </row>
    <row r="76" customFormat="false" ht="15" hidden="false" customHeight="false" outlineLevel="0" collapsed="false">
      <c r="A76" s="2" t="s">
        <v>178</v>
      </c>
      <c r="B76" s="3" t="s">
        <v>179</v>
      </c>
      <c r="C76" s="3" t="s">
        <v>180</v>
      </c>
      <c r="D76" s="2" t="s">
        <v>8</v>
      </c>
      <c r="E76" s="3" t="s">
        <v>9</v>
      </c>
    </row>
    <row r="77" customFormat="false" ht="23.85" hidden="false" customHeight="false" outlineLevel="0" collapsed="false">
      <c r="A77" s="2" t="s">
        <v>181</v>
      </c>
      <c r="B77" s="3" t="s">
        <v>182</v>
      </c>
      <c r="C77" s="3" t="s">
        <v>180</v>
      </c>
      <c r="D77" s="2" t="s">
        <v>8</v>
      </c>
      <c r="E77" s="3" t="s">
        <v>12</v>
      </c>
    </row>
    <row r="78" customFormat="false" ht="15" hidden="false" customHeight="false" outlineLevel="0" collapsed="false">
      <c r="A78" s="2" t="s">
        <v>183</v>
      </c>
      <c r="B78" s="3" t="s">
        <v>184</v>
      </c>
      <c r="C78" s="3" t="s">
        <v>180</v>
      </c>
      <c r="D78" s="2" t="s">
        <v>32</v>
      </c>
      <c r="E78" s="3" t="s">
        <v>18</v>
      </c>
    </row>
    <row r="79" customFormat="false" ht="23.85" hidden="false" customHeight="false" outlineLevel="0" collapsed="false">
      <c r="A79" s="2" t="s">
        <v>185</v>
      </c>
      <c r="B79" s="3" t="s">
        <v>186</v>
      </c>
      <c r="C79" s="3" t="s">
        <v>180</v>
      </c>
      <c r="D79" s="2" t="s">
        <v>8</v>
      </c>
      <c r="E79" s="3" t="s">
        <v>21</v>
      </c>
    </row>
    <row r="80" customFormat="false" ht="15" hidden="false" customHeight="false" outlineLevel="0" collapsed="false">
      <c r="A80" s="2" t="s">
        <v>187</v>
      </c>
      <c r="B80" s="3" t="s">
        <v>188</v>
      </c>
      <c r="C80" s="3" t="s">
        <v>189</v>
      </c>
      <c r="D80" s="2" t="s">
        <v>8</v>
      </c>
      <c r="E80" s="3" t="s">
        <v>9</v>
      </c>
    </row>
    <row r="81" customFormat="false" ht="23.85" hidden="false" customHeight="false" outlineLevel="0" collapsed="false">
      <c r="A81" s="2" t="s">
        <v>190</v>
      </c>
      <c r="B81" s="3" t="s">
        <v>191</v>
      </c>
      <c r="C81" s="3" t="s">
        <v>189</v>
      </c>
      <c r="D81" s="2" t="s">
        <v>8</v>
      </c>
      <c r="E81" s="3" t="s">
        <v>12</v>
      </c>
    </row>
    <row r="82" customFormat="false" ht="15" hidden="false" customHeight="false" outlineLevel="0" collapsed="false">
      <c r="A82" s="2" t="s">
        <v>192</v>
      </c>
      <c r="B82" s="3" t="s">
        <v>193</v>
      </c>
      <c r="C82" s="3" t="s">
        <v>189</v>
      </c>
      <c r="D82" s="2" t="s">
        <v>32</v>
      </c>
      <c r="E82" s="3" t="s">
        <v>18</v>
      </c>
    </row>
    <row r="83" customFormat="false" ht="23.85" hidden="false" customHeight="false" outlineLevel="0" collapsed="false">
      <c r="A83" s="2" t="s">
        <v>194</v>
      </c>
      <c r="B83" s="3" t="s">
        <v>195</v>
      </c>
      <c r="C83" s="3" t="s">
        <v>189</v>
      </c>
      <c r="D83" s="2" t="s">
        <v>8</v>
      </c>
      <c r="E83" s="3" t="s">
        <v>21</v>
      </c>
    </row>
  </sheetData>
  <autoFilter ref="A1:E83"/>
  <conditionalFormatting sqref="A2:E83">
    <cfRule type="expression" priority="2" aboveAverage="0" equalAverage="0" bottom="0" percent="0" rank="0" text="" dxfId="5">
      <formula>$D2="False"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15"/>
    <col collapsed="false" customWidth="true" hidden="false" outlineLevel="0" max="4" min="4" style="0" width="20"/>
    <col collapsed="false" customWidth="true" hidden="false" outlineLevel="0" max="5" min="5" style="0" width="17"/>
    <col collapsed="false" customWidth="true" hidden="false" outlineLevel="0" max="6" min="6" style="0" width="70"/>
    <col collapsed="false" customWidth="true" hidden="false" outlineLevel="0" max="7" min="7" style="0" width="55"/>
  </cols>
  <sheetData>
    <row r="1" customFormat="false" ht="23.85" hidden="false" customHeight="false" outlineLevel="0" collapsed="false">
      <c r="A1" s="1" t="s">
        <v>0</v>
      </c>
      <c r="B1" s="1" t="s">
        <v>2</v>
      </c>
      <c r="C1" s="1" t="s">
        <v>196</v>
      </c>
      <c r="D1" s="1" t="s">
        <v>4</v>
      </c>
      <c r="E1" s="1" t="s">
        <v>197</v>
      </c>
      <c r="F1" s="1" t="s">
        <v>198</v>
      </c>
      <c r="G1" s="1" t="s">
        <v>199</v>
      </c>
    </row>
    <row r="2" customFormat="false" ht="23.85" hidden="false" customHeight="false" outlineLevel="0" collapsed="false">
      <c r="A2" s="2" t="s">
        <v>5</v>
      </c>
      <c r="B2" s="3" t="s">
        <v>7</v>
      </c>
      <c r="C2" s="3" t="s">
        <v>200</v>
      </c>
      <c r="D2" s="3" t="s">
        <v>9</v>
      </c>
      <c r="E2" s="3" t="s">
        <v>201</v>
      </c>
      <c r="F2" s="3" t="s">
        <v>202</v>
      </c>
      <c r="G2" s="3" t="s">
        <v>203</v>
      </c>
    </row>
    <row r="3" customFormat="false" ht="46.25" hidden="false" customHeight="false" outlineLevel="0" collapsed="false">
      <c r="A3" s="2" t="s">
        <v>10</v>
      </c>
      <c r="B3" s="3" t="s">
        <v>7</v>
      </c>
      <c r="C3" s="3" t="s">
        <v>200</v>
      </c>
      <c r="D3" s="3" t="s">
        <v>12</v>
      </c>
      <c r="E3" s="3" t="s">
        <v>204</v>
      </c>
      <c r="F3" s="3" t="s">
        <v>205</v>
      </c>
      <c r="G3" s="3" t="s">
        <v>206</v>
      </c>
    </row>
    <row r="4" customFormat="false" ht="35.05" hidden="false" customHeight="false" outlineLevel="0" collapsed="false">
      <c r="A4" s="2" t="s">
        <v>13</v>
      </c>
      <c r="B4" s="3" t="s">
        <v>7</v>
      </c>
      <c r="C4" s="3" t="s">
        <v>200</v>
      </c>
      <c r="D4" s="3" t="s">
        <v>15</v>
      </c>
      <c r="E4" s="3" t="s">
        <v>207</v>
      </c>
      <c r="F4" s="3" t="s">
        <v>208</v>
      </c>
      <c r="G4" s="3" t="s">
        <v>209</v>
      </c>
    </row>
    <row r="5" customFormat="false" ht="35.05" hidden="false" customHeight="false" outlineLevel="0" collapsed="false">
      <c r="A5" s="2" t="s">
        <v>16</v>
      </c>
      <c r="B5" s="3" t="s">
        <v>7</v>
      </c>
      <c r="C5" s="3" t="s">
        <v>200</v>
      </c>
      <c r="D5" s="3" t="s">
        <v>18</v>
      </c>
      <c r="E5" s="3" t="s">
        <v>210</v>
      </c>
      <c r="F5" s="3" t="s">
        <v>211</v>
      </c>
      <c r="G5" s="3" t="s">
        <v>212</v>
      </c>
    </row>
    <row r="6" customFormat="false" ht="23.85" hidden="false" customHeight="false" outlineLevel="0" collapsed="false">
      <c r="A6" s="2" t="s">
        <v>19</v>
      </c>
      <c r="B6" s="3" t="s">
        <v>7</v>
      </c>
      <c r="C6" s="3" t="s">
        <v>200</v>
      </c>
      <c r="D6" s="3" t="s">
        <v>21</v>
      </c>
      <c r="E6" s="3" t="s">
        <v>213</v>
      </c>
      <c r="F6" s="3" t="s">
        <v>214</v>
      </c>
      <c r="G6" s="3" t="s">
        <v>215</v>
      </c>
    </row>
    <row r="7" customFormat="false" ht="23.85" hidden="false" customHeight="false" outlineLevel="0" collapsed="false">
      <c r="A7" s="2" t="s">
        <v>22</v>
      </c>
      <c r="B7" s="3" t="s">
        <v>7</v>
      </c>
      <c r="C7" s="3" t="s">
        <v>200</v>
      </c>
      <c r="D7" s="3" t="s">
        <v>24</v>
      </c>
      <c r="E7" s="3" t="s">
        <v>216</v>
      </c>
      <c r="F7" s="3" t="s">
        <v>217</v>
      </c>
      <c r="G7" s="3" t="s">
        <v>218</v>
      </c>
    </row>
    <row r="8" customFormat="false" ht="23.85" hidden="false" customHeight="false" outlineLevel="0" collapsed="false">
      <c r="A8" s="2" t="s">
        <v>25</v>
      </c>
      <c r="B8" s="3" t="s">
        <v>27</v>
      </c>
      <c r="C8" s="3" t="s">
        <v>219</v>
      </c>
      <c r="D8" s="3" t="s">
        <v>9</v>
      </c>
      <c r="E8" s="3" t="s">
        <v>201</v>
      </c>
      <c r="F8" s="3" t="s">
        <v>220</v>
      </c>
      <c r="G8" s="3" t="s">
        <v>221</v>
      </c>
    </row>
    <row r="9" customFormat="false" ht="35.05" hidden="false" customHeight="false" outlineLevel="0" collapsed="false">
      <c r="A9" s="2" t="s">
        <v>28</v>
      </c>
      <c r="B9" s="3" t="s">
        <v>27</v>
      </c>
      <c r="C9" s="3" t="s">
        <v>219</v>
      </c>
      <c r="D9" s="3" t="s">
        <v>12</v>
      </c>
      <c r="E9" s="3" t="s">
        <v>204</v>
      </c>
      <c r="F9" s="3" t="s">
        <v>222</v>
      </c>
      <c r="G9" s="3" t="s">
        <v>223</v>
      </c>
    </row>
    <row r="10" customFormat="false" ht="35.05" hidden="false" customHeight="false" outlineLevel="0" collapsed="false">
      <c r="A10" s="2" t="s">
        <v>30</v>
      </c>
      <c r="B10" s="3" t="s">
        <v>27</v>
      </c>
      <c r="C10" s="3" t="s">
        <v>219</v>
      </c>
      <c r="D10" s="3" t="s">
        <v>15</v>
      </c>
      <c r="E10" s="3" t="s">
        <v>207</v>
      </c>
      <c r="F10" s="3" t="s">
        <v>224</v>
      </c>
      <c r="G10" s="3" t="s">
        <v>225</v>
      </c>
    </row>
    <row r="11" customFormat="false" ht="23.85" hidden="false" customHeight="false" outlineLevel="0" collapsed="false">
      <c r="A11" s="2" t="s">
        <v>33</v>
      </c>
      <c r="B11" s="3" t="s">
        <v>27</v>
      </c>
      <c r="C11" s="3" t="s">
        <v>219</v>
      </c>
      <c r="D11" s="3" t="s">
        <v>18</v>
      </c>
      <c r="E11" s="3" t="s">
        <v>210</v>
      </c>
      <c r="F11" s="3" t="s">
        <v>226</v>
      </c>
      <c r="G11" s="3" t="s">
        <v>227</v>
      </c>
    </row>
    <row r="12" customFormat="false" ht="23.85" hidden="false" customHeight="false" outlineLevel="0" collapsed="false">
      <c r="A12" s="2" t="s">
        <v>35</v>
      </c>
      <c r="B12" s="3" t="s">
        <v>27</v>
      </c>
      <c r="C12" s="3" t="s">
        <v>219</v>
      </c>
      <c r="D12" s="3" t="s">
        <v>21</v>
      </c>
      <c r="E12" s="3" t="s">
        <v>213</v>
      </c>
      <c r="F12" s="3" t="s">
        <v>228</v>
      </c>
      <c r="G12" s="3" t="s">
        <v>229</v>
      </c>
    </row>
    <row r="13" customFormat="false" ht="23.85" hidden="false" customHeight="false" outlineLevel="0" collapsed="false">
      <c r="A13" s="2" t="s">
        <v>37</v>
      </c>
      <c r="B13" s="3" t="s">
        <v>27</v>
      </c>
      <c r="C13" s="3" t="s">
        <v>219</v>
      </c>
      <c r="D13" s="3" t="s">
        <v>24</v>
      </c>
      <c r="E13" s="3" t="s">
        <v>216</v>
      </c>
      <c r="F13" s="3" t="s">
        <v>230</v>
      </c>
      <c r="G13" s="3" t="s">
        <v>231</v>
      </c>
    </row>
    <row r="14" customFormat="false" ht="35.05" hidden="false" customHeight="false" outlineLevel="0" collapsed="false">
      <c r="A14" s="2" t="s">
        <v>39</v>
      </c>
      <c r="B14" s="3" t="s">
        <v>41</v>
      </c>
      <c r="C14" s="3" t="s">
        <v>232</v>
      </c>
      <c r="D14" s="3" t="s">
        <v>9</v>
      </c>
      <c r="E14" s="3" t="s">
        <v>201</v>
      </c>
      <c r="F14" s="3" t="s">
        <v>233</v>
      </c>
      <c r="G14" s="3" t="s">
        <v>234</v>
      </c>
    </row>
    <row r="15" customFormat="false" ht="23.85" hidden="false" customHeight="false" outlineLevel="0" collapsed="false">
      <c r="A15" s="2" t="s">
        <v>42</v>
      </c>
      <c r="B15" s="3" t="s">
        <v>41</v>
      </c>
      <c r="C15" s="3" t="s">
        <v>232</v>
      </c>
      <c r="D15" s="3" t="s">
        <v>12</v>
      </c>
      <c r="E15" s="3" t="s">
        <v>204</v>
      </c>
      <c r="F15" s="3" t="s">
        <v>235</v>
      </c>
      <c r="G15" s="3" t="s">
        <v>236</v>
      </c>
    </row>
    <row r="16" customFormat="false" ht="23.85" hidden="false" customHeight="false" outlineLevel="0" collapsed="false">
      <c r="A16" s="2" t="s">
        <v>44</v>
      </c>
      <c r="B16" s="3" t="s">
        <v>41</v>
      </c>
      <c r="C16" s="3" t="s">
        <v>232</v>
      </c>
      <c r="D16" s="3" t="s">
        <v>18</v>
      </c>
      <c r="E16" s="3" t="s">
        <v>210</v>
      </c>
      <c r="F16" s="3" t="s">
        <v>237</v>
      </c>
      <c r="G16" s="3" t="s">
        <v>238</v>
      </c>
    </row>
    <row r="17" customFormat="false" ht="23.85" hidden="false" customHeight="false" outlineLevel="0" collapsed="false">
      <c r="A17" s="2" t="s">
        <v>46</v>
      </c>
      <c r="B17" s="3" t="s">
        <v>41</v>
      </c>
      <c r="C17" s="3" t="s">
        <v>232</v>
      </c>
      <c r="D17" s="3" t="s">
        <v>21</v>
      </c>
      <c r="E17" s="3" t="s">
        <v>213</v>
      </c>
      <c r="F17" s="3" t="s">
        <v>239</v>
      </c>
      <c r="G17" s="3" t="s">
        <v>240</v>
      </c>
    </row>
    <row r="18" customFormat="false" ht="23.85" hidden="false" customHeight="false" outlineLevel="0" collapsed="false">
      <c r="A18" s="2" t="s">
        <v>48</v>
      </c>
      <c r="B18" s="3" t="s">
        <v>50</v>
      </c>
      <c r="C18" s="3" t="s">
        <v>232</v>
      </c>
      <c r="D18" s="3" t="s">
        <v>9</v>
      </c>
      <c r="E18" s="3" t="s">
        <v>201</v>
      </c>
      <c r="F18" s="3" t="s">
        <v>241</v>
      </c>
      <c r="G18" s="3" t="s">
        <v>242</v>
      </c>
    </row>
    <row r="19" customFormat="false" ht="23.85" hidden="false" customHeight="false" outlineLevel="0" collapsed="false">
      <c r="A19" s="2" t="s">
        <v>51</v>
      </c>
      <c r="B19" s="3" t="s">
        <v>50</v>
      </c>
      <c r="C19" s="3" t="s">
        <v>232</v>
      </c>
      <c r="D19" s="3" t="s">
        <v>12</v>
      </c>
      <c r="E19" s="3" t="s">
        <v>204</v>
      </c>
      <c r="F19" s="3" t="s">
        <v>243</v>
      </c>
      <c r="G19" s="3" t="s">
        <v>244</v>
      </c>
    </row>
    <row r="20" customFormat="false" ht="23.85" hidden="false" customHeight="false" outlineLevel="0" collapsed="false">
      <c r="A20" s="2" t="s">
        <v>53</v>
      </c>
      <c r="B20" s="3" t="s">
        <v>50</v>
      </c>
      <c r="C20" s="3" t="s">
        <v>232</v>
      </c>
      <c r="D20" s="3" t="s">
        <v>18</v>
      </c>
      <c r="E20" s="3" t="s">
        <v>210</v>
      </c>
      <c r="F20" s="3" t="s">
        <v>245</v>
      </c>
      <c r="G20" s="3" t="s">
        <v>246</v>
      </c>
    </row>
    <row r="21" customFormat="false" ht="15" hidden="false" customHeight="false" outlineLevel="0" collapsed="false">
      <c r="A21" s="2" t="s">
        <v>55</v>
      </c>
      <c r="B21" s="3" t="s">
        <v>50</v>
      </c>
      <c r="C21" s="3" t="s">
        <v>232</v>
      </c>
      <c r="D21" s="3" t="s">
        <v>21</v>
      </c>
      <c r="E21" s="3" t="s">
        <v>213</v>
      </c>
      <c r="F21" s="3" t="s">
        <v>247</v>
      </c>
      <c r="G21" s="3" t="s">
        <v>248</v>
      </c>
    </row>
    <row r="22" customFormat="false" ht="23.85" hidden="false" customHeight="false" outlineLevel="0" collapsed="false">
      <c r="A22" s="2" t="s">
        <v>57</v>
      </c>
      <c r="B22" s="3" t="s">
        <v>59</v>
      </c>
      <c r="C22" s="3" t="s">
        <v>232</v>
      </c>
      <c r="D22" s="3" t="s">
        <v>9</v>
      </c>
      <c r="E22" s="3" t="s">
        <v>201</v>
      </c>
      <c r="F22" s="3" t="s">
        <v>249</v>
      </c>
      <c r="G22" s="3" t="s">
        <v>250</v>
      </c>
    </row>
    <row r="23" customFormat="false" ht="15" hidden="false" customHeight="false" outlineLevel="0" collapsed="false">
      <c r="A23" s="2" t="s">
        <v>60</v>
      </c>
      <c r="B23" s="3" t="s">
        <v>59</v>
      </c>
      <c r="C23" s="3" t="s">
        <v>232</v>
      </c>
      <c r="D23" s="3" t="s">
        <v>12</v>
      </c>
      <c r="E23" s="3" t="s">
        <v>204</v>
      </c>
      <c r="F23" s="3" t="s">
        <v>251</v>
      </c>
      <c r="G23" s="3" t="s">
        <v>252</v>
      </c>
    </row>
    <row r="24" customFormat="false" ht="23.85" hidden="false" customHeight="false" outlineLevel="0" collapsed="false">
      <c r="A24" s="2" t="s">
        <v>62</v>
      </c>
      <c r="B24" s="3" t="s">
        <v>59</v>
      </c>
      <c r="C24" s="3" t="s">
        <v>232</v>
      </c>
      <c r="D24" s="3" t="s">
        <v>18</v>
      </c>
      <c r="E24" s="3" t="s">
        <v>210</v>
      </c>
      <c r="F24" s="3" t="s">
        <v>253</v>
      </c>
      <c r="G24" s="3" t="s">
        <v>254</v>
      </c>
    </row>
    <row r="25" customFormat="false" ht="23.85" hidden="false" customHeight="false" outlineLevel="0" collapsed="false">
      <c r="A25" s="2" t="s">
        <v>64</v>
      </c>
      <c r="B25" s="3" t="s">
        <v>59</v>
      </c>
      <c r="C25" s="3" t="s">
        <v>232</v>
      </c>
      <c r="D25" s="3" t="s">
        <v>21</v>
      </c>
      <c r="E25" s="3" t="s">
        <v>213</v>
      </c>
      <c r="F25" s="3" t="s">
        <v>255</v>
      </c>
      <c r="G25" s="3" t="s">
        <v>256</v>
      </c>
    </row>
    <row r="26" customFormat="false" ht="35.05" hidden="false" customHeight="false" outlineLevel="0" collapsed="false">
      <c r="A26" s="2" t="s">
        <v>66</v>
      </c>
      <c r="B26" s="3" t="s">
        <v>68</v>
      </c>
      <c r="C26" s="3" t="s">
        <v>257</v>
      </c>
      <c r="D26" s="3" t="s">
        <v>9</v>
      </c>
      <c r="E26" s="3" t="s">
        <v>201</v>
      </c>
      <c r="F26" s="3" t="s">
        <v>258</v>
      </c>
      <c r="G26" s="3" t="s">
        <v>259</v>
      </c>
    </row>
    <row r="27" customFormat="false" ht="23.85" hidden="false" customHeight="false" outlineLevel="0" collapsed="false">
      <c r="A27" s="2" t="s">
        <v>69</v>
      </c>
      <c r="B27" s="3" t="s">
        <v>68</v>
      </c>
      <c r="C27" s="3" t="s">
        <v>257</v>
      </c>
      <c r="D27" s="3" t="s">
        <v>12</v>
      </c>
      <c r="E27" s="3" t="s">
        <v>204</v>
      </c>
      <c r="F27" s="3" t="s">
        <v>260</v>
      </c>
      <c r="G27" s="3" t="s">
        <v>261</v>
      </c>
    </row>
    <row r="28" customFormat="false" ht="35.05" hidden="false" customHeight="false" outlineLevel="0" collapsed="false">
      <c r="A28" s="2" t="s">
        <v>71</v>
      </c>
      <c r="B28" s="3" t="s">
        <v>68</v>
      </c>
      <c r="C28" s="3" t="s">
        <v>257</v>
      </c>
      <c r="D28" s="3" t="s">
        <v>15</v>
      </c>
      <c r="E28" s="3" t="s">
        <v>207</v>
      </c>
      <c r="F28" s="3" t="s">
        <v>262</v>
      </c>
      <c r="G28" s="3" t="s">
        <v>263</v>
      </c>
    </row>
    <row r="29" customFormat="false" ht="23.85" hidden="false" customHeight="false" outlineLevel="0" collapsed="false">
      <c r="A29" s="2" t="s">
        <v>73</v>
      </c>
      <c r="B29" s="3" t="s">
        <v>68</v>
      </c>
      <c r="C29" s="3" t="s">
        <v>257</v>
      </c>
      <c r="D29" s="3" t="s">
        <v>18</v>
      </c>
      <c r="E29" s="3" t="s">
        <v>210</v>
      </c>
      <c r="F29" s="3" t="s">
        <v>264</v>
      </c>
      <c r="G29" s="3" t="s">
        <v>265</v>
      </c>
    </row>
    <row r="30" customFormat="false" ht="23.85" hidden="false" customHeight="false" outlineLevel="0" collapsed="false">
      <c r="A30" s="2" t="s">
        <v>75</v>
      </c>
      <c r="B30" s="3" t="s">
        <v>68</v>
      </c>
      <c r="C30" s="3" t="s">
        <v>257</v>
      </c>
      <c r="D30" s="3" t="s">
        <v>21</v>
      </c>
      <c r="E30" s="3" t="s">
        <v>213</v>
      </c>
      <c r="F30" s="3" t="s">
        <v>266</v>
      </c>
      <c r="G30" s="3" t="s">
        <v>267</v>
      </c>
    </row>
    <row r="31" customFormat="false" ht="35.05" hidden="false" customHeight="false" outlineLevel="0" collapsed="false">
      <c r="A31" s="2" t="s">
        <v>77</v>
      </c>
      <c r="B31" s="3" t="s">
        <v>68</v>
      </c>
      <c r="C31" s="3" t="s">
        <v>257</v>
      </c>
      <c r="D31" s="3" t="s">
        <v>24</v>
      </c>
      <c r="E31" s="3" t="s">
        <v>216</v>
      </c>
      <c r="F31" s="3" t="s">
        <v>268</v>
      </c>
      <c r="G31" s="3" t="s">
        <v>269</v>
      </c>
    </row>
    <row r="32" customFormat="false" ht="23.85" hidden="false" customHeight="false" outlineLevel="0" collapsed="false">
      <c r="A32" s="2" t="s">
        <v>79</v>
      </c>
      <c r="B32" s="3" t="s">
        <v>81</v>
      </c>
      <c r="C32" s="3" t="s">
        <v>219</v>
      </c>
      <c r="D32" s="3" t="s">
        <v>9</v>
      </c>
      <c r="E32" s="3" t="s">
        <v>201</v>
      </c>
      <c r="F32" s="3" t="s">
        <v>270</v>
      </c>
      <c r="G32" s="3" t="s">
        <v>271</v>
      </c>
    </row>
    <row r="33" customFormat="false" ht="23.85" hidden="false" customHeight="false" outlineLevel="0" collapsed="false">
      <c r="A33" s="2" t="s">
        <v>82</v>
      </c>
      <c r="B33" s="3" t="s">
        <v>81</v>
      </c>
      <c r="C33" s="3" t="s">
        <v>219</v>
      </c>
      <c r="D33" s="3" t="s">
        <v>12</v>
      </c>
      <c r="E33" s="3" t="s">
        <v>204</v>
      </c>
      <c r="F33" s="3" t="s">
        <v>272</v>
      </c>
      <c r="G33" s="3" t="s">
        <v>273</v>
      </c>
    </row>
    <row r="34" customFormat="false" ht="35.05" hidden="false" customHeight="false" outlineLevel="0" collapsed="false">
      <c r="A34" s="2" t="s">
        <v>84</v>
      </c>
      <c r="B34" s="3" t="s">
        <v>81</v>
      </c>
      <c r="C34" s="3" t="s">
        <v>219</v>
      </c>
      <c r="D34" s="3" t="s">
        <v>15</v>
      </c>
      <c r="E34" s="3" t="s">
        <v>207</v>
      </c>
      <c r="F34" s="3" t="s">
        <v>274</v>
      </c>
      <c r="G34" s="3" t="s">
        <v>275</v>
      </c>
    </row>
    <row r="35" customFormat="false" ht="15" hidden="false" customHeight="false" outlineLevel="0" collapsed="false">
      <c r="A35" s="2" t="s">
        <v>86</v>
      </c>
      <c r="B35" s="3" t="s">
        <v>81</v>
      </c>
      <c r="C35" s="3" t="s">
        <v>219</v>
      </c>
      <c r="D35" s="3" t="s">
        <v>18</v>
      </c>
      <c r="E35" s="3" t="s">
        <v>210</v>
      </c>
      <c r="F35" s="3" t="s">
        <v>276</v>
      </c>
      <c r="G35" s="3" t="s">
        <v>277</v>
      </c>
    </row>
    <row r="36" customFormat="false" ht="23.85" hidden="false" customHeight="false" outlineLevel="0" collapsed="false">
      <c r="A36" s="2" t="s">
        <v>88</v>
      </c>
      <c r="B36" s="3" t="s">
        <v>81</v>
      </c>
      <c r="C36" s="3" t="s">
        <v>219</v>
      </c>
      <c r="D36" s="3" t="s">
        <v>21</v>
      </c>
      <c r="E36" s="3" t="s">
        <v>213</v>
      </c>
      <c r="F36" s="3" t="s">
        <v>278</v>
      </c>
      <c r="G36" s="3" t="s">
        <v>279</v>
      </c>
    </row>
    <row r="37" customFormat="false" ht="23.85" hidden="false" customHeight="false" outlineLevel="0" collapsed="false">
      <c r="A37" s="2" t="s">
        <v>90</v>
      </c>
      <c r="B37" s="3" t="s">
        <v>81</v>
      </c>
      <c r="C37" s="3" t="s">
        <v>219</v>
      </c>
      <c r="D37" s="3" t="s">
        <v>24</v>
      </c>
      <c r="E37" s="3" t="s">
        <v>216</v>
      </c>
      <c r="F37" s="3" t="s">
        <v>280</v>
      </c>
      <c r="G37" s="3" t="s">
        <v>281</v>
      </c>
    </row>
    <row r="38" customFormat="false" ht="23.85" hidden="false" customHeight="false" outlineLevel="0" collapsed="false">
      <c r="A38" s="2" t="s">
        <v>92</v>
      </c>
      <c r="B38" s="3" t="s">
        <v>94</v>
      </c>
      <c r="C38" s="3" t="s">
        <v>282</v>
      </c>
      <c r="D38" s="3" t="s">
        <v>12</v>
      </c>
      <c r="E38" s="3" t="s">
        <v>204</v>
      </c>
      <c r="F38" s="3" t="s">
        <v>283</v>
      </c>
      <c r="G38" s="3" t="s">
        <v>284</v>
      </c>
    </row>
    <row r="39" customFormat="false" ht="23.85" hidden="false" customHeight="false" outlineLevel="0" collapsed="false">
      <c r="A39" s="2" t="s">
        <v>95</v>
      </c>
      <c r="B39" s="3" t="s">
        <v>94</v>
      </c>
      <c r="C39" s="3" t="s">
        <v>282</v>
      </c>
      <c r="D39" s="3" t="s">
        <v>21</v>
      </c>
      <c r="E39" s="3" t="s">
        <v>213</v>
      </c>
      <c r="F39" s="3" t="s">
        <v>285</v>
      </c>
      <c r="G39" s="3" t="s">
        <v>286</v>
      </c>
    </row>
    <row r="40" customFormat="false" ht="23.85" hidden="false" customHeight="false" outlineLevel="0" collapsed="false">
      <c r="A40" s="2" t="s">
        <v>97</v>
      </c>
      <c r="B40" s="3" t="s">
        <v>99</v>
      </c>
      <c r="C40" s="3" t="s">
        <v>282</v>
      </c>
      <c r="D40" s="3" t="s">
        <v>12</v>
      </c>
      <c r="E40" s="3" t="s">
        <v>204</v>
      </c>
      <c r="F40" s="3" t="s">
        <v>287</v>
      </c>
      <c r="G40" s="3" t="s">
        <v>288</v>
      </c>
    </row>
    <row r="41" customFormat="false" ht="35.05" hidden="false" customHeight="false" outlineLevel="0" collapsed="false">
      <c r="A41" s="2" t="s">
        <v>100</v>
      </c>
      <c r="B41" s="3" t="s">
        <v>99</v>
      </c>
      <c r="C41" s="3" t="s">
        <v>282</v>
      </c>
      <c r="D41" s="3" t="s">
        <v>21</v>
      </c>
      <c r="E41" s="3" t="s">
        <v>213</v>
      </c>
      <c r="F41" s="3" t="s">
        <v>289</v>
      </c>
      <c r="G41" s="3" t="s">
        <v>290</v>
      </c>
    </row>
    <row r="42" customFormat="false" ht="23.85" hidden="false" customHeight="false" outlineLevel="0" collapsed="false">
      <c r="A42" s="2" t="s">
        <v>102</v>
      </c>
      <c r="B42" s="3" t="s">
        <v>104</v>
      </c>
      <c r="C42" s="3" t="s">
        <v>257</v>
      </c>
      <c r="D42" s="3" t="s">
        <v>9</v>
      </c>
      <c r="E42" s="3" t="s">
        <v>201</v>
      </c>
      <c r="F42" s="3" t="s">
        <v>291</v>
      </c>
      <c r="G42" s="3" t="s">
        <v>292</v>
      </c>
    </row>
    <row r="43" customFormat="false" ht="15" hidden="false" customHeight="false" outlineLevel="0" collapsed="false">
      <c r="A43" s="2" t="s">
        <v>105</v>
      </c>
      <c r="B43" s="3" t="s">
        <v>104</v>
      </c>
      <c r="C43" s="3" t="s">
        <v>257</v>
      </c>
      <c r="D43" s="3" t="s">
        <v>12</v>
      </c>
      <c r="E43" s="3" t="s">
        <v>204</v>
      </c>
      <c r="F43" s="3" t="s">
        <v>293</v>
      </c>
      <c r="G43" s="3" t="s">
        <v>294</v>
      </c>
    </row>
    <row r="44" customFormat="false" ht="23.85" hidden="false" customHeight="false" outlineLevel="0" collapsed="false">
      <c r="A44" s="2" t="s">
        <v>107</v>
      </c>
      <c r="B44" s="3" t="s">
        <v>104</v>
      </c>
      <c r="C44" s="3" t="s">
        <v>257</v>
      </c>
      <c r="D44" s="3" t="s">
        <v>15</v>
      </c>
      <c r="E44" s="3" t="s">
        <v>207</v>
      </c>
      <c r="F44" s="3" t="s">
        <v>295</v>
      </c>
      <c r="G44" s="3" t="s">
        <v>296</v>
      </c>
    </row>
    <row r="45" customFormat="false" ht="15" hidden="false" customHeight="false" outlineLevel="0" collapsed="false">
      <c r="A45" s="2" t="s">
        <v>109</v>
      </c>
      <c r="B45" s="3" t="s">
        <v>104</v>
      </c>
      <c r="C45" s="3" t="s">
        <v>257</v>
      </c>
      <c r="D45" s="3" t="s">
        <v>18</v>
      </c>
      <c r="E45" s="3" t="s">
        <v>210</v>
      </c>
      <c r="F45" s="3" t="s">
        <v>297</v>
      </c>
      <c r="G45" s="3" t="s">
        <v>277</v>
      </c>
    </row>
    <row r="46" customFormat="false" ht="15" hidden="false" customHeight="false" outlineLevel="0" collapsed="false">
      <c r="A46" s="2" t="s">
        <v>111</v>
      </c>
      <c r="B46" s="3" t="s">
        <v>104</v>
      </c>
      <c r="C46" s="3" t="s">
        <v>257</v>
      </c>
      <c r="D46" s="3" t="s">
        <v>21</v>
      </c>
      <c r="E46" s="3" t="s">
        <v>213</v>
      </c>
      <c r="F46" s="3" t="s">
        <v>298</v>
      </c>
      <c r="G46" s="3" t="s">
        <v>299</v>
      </c>
    </row>
    <row r="47" customFormat="false" ht="23.85" hidden="false" customHeight="false" outlineLevel="0" collapsed="false">
      <c r="A47" s="2" t="s">
        <v>113</v>
      </c>
      <c r="B47" s="3" t="s">
        <v>104</v>
      </c>
      <c r="C47" s="3" t="s">
        <v>257</v>
      </c>
      <c r="D47" s="3" t="s">
        <v>24</v>
      </c>
      <c r="E47" s="3" t="s">
        <v>216</v>
      </c>
      <c r="F47" s="3" t="s">
        <v>300</v>
      </c>
      <c r="G47" s="3" t="s">
        <v>301</v>
      </c>
    </row>
    <row r="48" customFormat="false" ht="35.05" hidden="false" customHeight="false" outlineLevel="0" collapsed="false">
      <c r="A48" s="2" t="s">
        <v>115</v>
      </c>
      <c r="B48" s="3" t="s">
        <v>117</v>
      </c>
      <c r="C48" s="3" t="s">
        <v>302</v>
      </c>
      <c r="D48" s="3" t="s">
        <v>9</v>
      </c>
      <c r="E48" s="3" t="s">
        <v>201</v>
      </c>
      <c r="F48" s="3" t="s">
        <v>303</v>
      </c>
      <c r="G48" s="3" t="s">
        <v>304</v>
      </c>
    </row>
    <row r="49" customFormat="false" ht="35.05" hidden="false" customHeight="false" outlineLevel="0" collapsed="false">
      <c r="A49" s="2" t="s">
        <v>118</v>
      </c>
      <c r="B49" s="3" t="s">
        <v>117</v>
      </c>
      <c r="C49" s="3" t="s">
        <v>302</v>
      </c>
      <c r="D49" s="3" t="s">
        <v>12</v>
      </c>
      <c r="E49" s="3" t="s">
        <v>204</v>
      </c>
      <c r="F49" s="3" t="s">
        <v>305</v>
      </c>
      <c r="G49" s="3" t="s">
        <v>304</v>
      </c>
    </row>
    <row r="50" customFormat="false" ht="23.85" hidden="false" customHeight="false" outlineLevel="0" collapsed="false">
      <c r="A50" s="2" t="s">
        <v>120</v>
      </c>
      <c r="B50" s="3" t="s">
        <v>117</v>
      </c>
      <c r="C50" s="3" t="s">
        <v>302</v>
      </c>
      <c r="D50" s="3" t="s">
        <v>18</v>
      </c>
      <c r="E50" s="3" t="s">
        <v>210</v>
      </c>
      <c r="F50" s="3" t="s">
        <v>306</v>
      </c>
      <c r="G50" s="3" t="s">
        <v>307</v>
      </c>
    </row>
    <row r="51" customFormat="false" ht="35.05" hidden="false" customHeight="false" outlineLevel="0" collapsed="false">
      <c r="A51" s="2" t="s">
        <v>122</v>
      </c>
      <c r="B51" s="3" t="s">
        <v>117</v>
      </c>
      <c r="C51" s="3" t="s">
        <v>302</v>
      </c>
      <c r="D51" s="3" t="s">
        <v>21</v>
      </c>
      <c r="E51" s="3" t="s">
        <v>213</v>
      </c>
      <c r="F51" s="3" t="s">
        <v>308</v>
      </c>
      <c r="G51" s="3" t="s">
        <v>240</v>
      </c>
    </row>
    <row r="52" customFormat="false" ht="46.25" hidden="false" customHeight="false" outlineLevel="0" collapsed="false">
      <c r="A52" s="2" t="s">
        <v>124</v>
      </c>
      <c r="B52" s="3" t="s">
        <v>126</v>
      </c>
      <c r="C52" s="3" t="s">
        <v>302</v>
      </c>
      <c r="D52" s="3" t="s">
        <v>9</v>
      </c>
      <c r="E52" s="3" t="s">
        <v>201</v>
      </c>
      <c r="F52" s="3" t="s">
        <v>309</v>
      </c>
      <c r="G52" s="3" t="s">
        <v>310</v>
      </c>
    </row>
    <row r="53" customFormat="false" ht="35.05" hidden="false" customHeight="false" outlineLevel="0" collapsed="false">
      <c r="A53" s="2" t="s">
        <v>127</v>
      </c>
      <c r="B53" s="3" t="s">
        <v>126</v>
      </c>
      <c r="C53" s="3" t="s">
        <v>302</v>
      </c>
      <c r="D53" s="3" t="s">
        <v>12</v>
      </c>
      <c r="E53" s="3" t="s">
        <v>204</v>
      </c>
      <c r="F53" s="3" t="s">
        <v>311</v>
      </c>
      <c r="G53" s="3" t="s">
        <v>310</v>
      </c>
    </row>
    <row r="54" customFormat="false" ht="23.85" hidden="false" customHeight="false" outlineLevel="0" collapsed="false">
      <c r="A54" s="2" t="s">
        <v>129</v>
      </c>
      <c r="B54" s="3" t="s">
        <v>126</v>
      </c>
      <c r="C54" s="3" t="s">
        <v>302</v>
      </c>
      <c r="D54" s="3" t="s">
        <v>18</v>
      </c>
      <c r="E54" s="3" t="s">
        <v>210</v>
      </c>
      <c r="F54" s="3" t="s">
        <v>312</v>
      </c>
      <c r="G54" s="3" t="s">
        <v>313</v>
      </c>
    </row>
    <row r="55" customFormat="false" ht="35.05" hidden="false" customHeight="false" outlineLevel="0" collapsed="false">
      <c r="A55" s="2" t="s">
        <v>131</v>
      </c>
      <c r="B55" s="3" t="s">
        <v>126</v>
      </c>
      <c r="C55" s="3" t="s">
        <v>302</v>
      </c>
      <c r="D55" s="3" t="s">
        <v>21</v>
      </c>
      <c r="E55" s="3" t="s">
        <v>213</v>
      </c>
      <c r="F55" s="3" t="s">
        <v>314</v>
      </c>
      <c r="G55" s="3" t="s">
        <v>248</v>
      </c>
    </row>
    <row r="56" customFormat="false" ht="46.25" hidden="false" customHeight="false" outlineLevel="0" collapsed="false">
      <c r="A56" s="2" t="s">
        <v>133</v>
      </c>
      <c r="B56" s="3" t="s">
        <v>135</v>
      </c>
      <c r="C56" s="3" t="s">
        <v>302</v>
      </c>
      <c r="D56" s="3" t="s">
        <v>9</v>
      </c>
      <c r="E56" s="3" t="s">
        <v>201</v>
      </c>
      <c r="F56" s="3" t="s">
        <v>315</v>
      </c>
      <c r="G56" s="3" t="s">
        <v>316</v>
      </c>
    </row>
    <row r="57" customFormat="false" ht="35.05" hidden="false" customHeight="false" outlineLevel="0" collapsed="false">
      <c r="A57" s="2" t="s">
        <v>136</v>
      </c>
      <c r="B57" s="3" t="s">
        <v>135</v>
      </c>
      <c r="C57" s="3" t="s">
        <v>302</v>
      </c>
      <c r="D57" s="3" t="s">
        <v>12</v>
      </c>
      <c r="E57" s="3" t="s">
        <v>204</v>
      </c>
      <c r="F57" s="3" t="s">
        <v>317</v>
      </c>
      <c r="G57" s="3" t="s">
        <v>316</v>
      </c>
    </row>
    <row r="58" customFormat="false" ht="23.85" hidden="false" customHeight="false" outlineLevel="0" collapsed="false">
      <c r="A58" s="2" t="s">
        <v>138</v>
      </c>
      <c r="B58" s="3" t="s">
        <v>135</v>
      </c>
      <c r="C58" s="3" t="s">
        <v>302</v>
      </c>
      <c r="D58" s="3" t="s">
        <v>18</v>
      </c>
      <c r="E58" s="3" t="s">
        <v>210</v>
      </c>
      <c r="F58" s="3" t="s">
        <v>318</v>
      </c>
      <c r="G58" s="3" t="s">
        <v>254</v>
      </c>
    </row>
    <row r="59" customFormat="false" ht="35.05" hidden="false" customHeight="false" outlineLevel="0" collapsed="false">
      <c r="A59" s="2" t="s">
        <v>140</v>
      </c>
      <c r="B59" s="3" t="s">
        <v>135</v>
      </c>
      <c r="C59" s="3" t="s">
        <v>302</v>
      </c>
      <c r="D59" s="3" t="s">
        <v>21</v>
      </c>
      <c r="E59" s="3" t="s">
        <v>213</v>
      </c>
      <c r="F59" s="3" t="s">
        <v>319</v>
      </c>
      <c r="G59" s="3" t="s">
        <v>256</v>
      </c>
    </row>
    <row r="60" customFormat="false" ht="57.45" hidden="false" customHeight="false" outlineLevel="0" collapsed="false">
      <c r="A60" s="2" t="s">
        <v>142</v>
      </c>
      <c r="B60" s="3" t="s">
        <v>144</v>
      </c>
      <c r="C60" s="3" t="s">
        <v>302</v>
      </c>
      <c r="D60" s="3" t="s">
        <v>9</v>
      </c>
      <c r="E60" s="3" t="s">
        <v>201</v>
      </c>
      <c r="F60" s="3" t="s">
        <v>320</v>
      </c>
      <c r="G60" s="3" t="s">
        <v>321</v>
      </c>
    </row>
    <row r="61" customFormat="false" ht="46.25" hidden="false" customHeight="false" outlineLevel="0" collapsed="false">
      <c r="A61" s="2" t="s">
        <v>145</v>
      </c>
      <c r="B61" s="3" t="s">
        <v>144</v>
      </c>
      <c r="C61" s="3" t="s">
        <v>302</v>
      </c>
      <c r="D61" s="3" t="s">
        <v>12</v>
      </c>
      <c r="E61" s="3" t="s">
        <v>204</v>
      </c>
      <c r="F61" s="3" t="s">
        <v>322</v>
      </c>
      <c r="G61" s="3" t="s">
        <v>321</v>
      </c>
    </row>
    <row r="62" customFormat="false" ht="23.85" hidden="false" customHeight="false" outlineLevel="0" collapsed="false">
      <c r="A62" s="2" t="s">
        <v>147</v>
      </c>
      <c r="B62" s="3" t="s">
        <v>144</v>
      </c>
      <c r="C62" s="3" t="s">
        <v>302</v>
      </c>
      <c r="D62" s="3" t="s">
        <v>18</v>
      </c>
      <c r="E62" s="3" t="s">
        <v>210</v>
      </c>
      <c r="F62" s="3" t="s">
        <v>323</v>
      </c>
      <c r="G62" s="3" t="s">
        <v>324</v>
      </c>
    </row>
    <row r="63" customFormat="false" ht="46.25" hidden="false" customHeight="false" outlineLevel="0" collapsed="false">
      <c r="A63" s="2" t="s">
        <v>149</v>
      </c>
      <c r="B63" s="3" t="s">
        <v>144</v>
      </c>
      <c r="C63" s="3" t="s">
        <v>302</v>
      </c>
      <c r="D63" s="3" t="s">
        <v>21</v>
      </c>
      <c r="E63" s="3" t="s">
        <v>213</v>
      </c>
      <c r="F63" s="3" t="s">
        <v>325</v>
      </c>
      <c r="G63" s="3" t="s">
        <v>326</v>
      </c>
    </row>
    <row r="64" customFormat="false" ht="46.25" hidden="false" customHeight="false" outlineLevel="0" collapsed="false">
      <c r="A64" s="2" t="s">
        <v>151</v>
      </c>
      <c r="B64" s="3" t="s">
        <v>153</v>
      </c>
      <c r="C64" s="3" t="s">
        <v>302</v>
      </c>
      <c r="D64" s="3" t="s">
        <v>9</v>
      </c>
      <c r="E64" s="3" t="s">
        <v>201</v>
      </c>
      <c r="F64" s="3" t="s">
        <v>327</v>
      </c>
      <c r="G64" s="3" t="s">
        <v>328</v>
      </c>
    </row>
    <row r="65" customFormat="false" ht="35.05" hidden="false" customHeight="false" outlineLevel="0" collapsed="false">
      <c r="A65" s="2" t="s">
        <v>154</v>
      </c>
      <c r="B65" s="3" t="s">
        <v>153</v>
      </c>
      <c r="C65" s="3" t="s">
        <v>302</v>
      </c>
      <c r="D65" s="3" t="s">
        <v>12</v>
      </c>
      <c r="E65" s="3" t="s">
        <v>204</v>
      </c>
      <c r="F65" s="3" t="s">
        <v>329</v>
      </c>
      <c r="G65" s="3" t="s">
        <v>328</v>
      </c>
    </row>
    <row r="66" customFormat="false" ht="23.85" hidden="false" customHeight="false" outlineLevel="0" collapsed="false">
      <c r="A66" s="2" t="s">
        <v>156</v>
      </c>
      <c r="B66" s="3" t="s">
        <v>153</v>
      </c>
      <c r="C66" s="3" t="s">
        <v>302</v>
      </c>
      <c r="D66" s="3" t="s">
        <v>18</v>
      </c>
      <c r="E66" s="3" t="s">
        <v>210</v>
      </c>
      <c r="F66" s="3" t="s">
        <v>330</v>
      </c>
      <c r="G66" s="3" t="s">
        <v>331</v>
      </c>
    </row>
    <row r="67" customFormat="false" ht="46.25" hidden="false" customHeight="false" outlineLevel="0" collapsed="false">
      <c r="A67" s="2" t="s">
        <v>158</v>
      </c>
      <c r="B67" s="3" t="s">
        <v>153</v>
      </c>
      <c r="C67" s="3" t="s">
        <v>302</v>
      </c>
      <c r="D67" s="3" t="s">
        <v>21</v>
      </c>
      <c r="E67" s="3" t="s">
        <v>213</v>
      </c>
      <c r="F67" s="3" t="s">
        <v>332</v>
      </c>
      <c r="G67" s="3" t="s">
        <v>333</v>
      </c>
    </row>
    <row r="68" customFormat="false" ht="57.45" hidden="false" customHeight="false" outlineLevel="0" collapsed="false">
      <c r="A68" s="2" t="s">
        <v>160</v>
      </c>
      <c r="B68" s="3" t="s">
        <v>162</v>
      </c>
      <c r="C68" s="3" t="s">
        <v>302</v>
      </c>
      <c r="D68" s="3" t="s">
        <v>9</v>
      </c>
      <c r="E68" s="3" t="s">
        <v>201</v>
      </c>
      <c r="F68" s="3" t="s">
        <v>334</v>
      </c>
      <c r="G68" s="3" t="s">
        <v>335</v>
      </c>
    </row>
    <row r="69" customFormat="false" ht="46.25" hidden="false" customHeight="false" outlineLevel="0" collapsed="false">
      <c r="A69" s="2" t="s">
        <v>163</v>
      </c>
      <c r="B69" s="3" t="s">
        <v>162</v>
      </c>
      <c r="C69" s="3" t="s">
        <v>302</v>
      </c>
      <c r="D69" s="3" t="s">
        <v>12</v>
      </c>
      <c r="E69" s="3" t="s">
        <v>204</v>
      </c>
      <c r="F69" s="3" t="s">
        <v>336</v>
      </c>
      <c r="G69" s="3" t="s">
        <v>335</v>
      </c>
    </row>
    <row r="70" customFormat="false" ht="23.85" hidden="false" customHeight="false" outlineLevel="0" collapsed="false">
      <c r="A70" s="2" t="s">
        <v>165</v>
      </c>
      <c r="B70" s="3" t="s">
        <v>162</v>
      </c>
      <c r="C70" s="3" t="s">
        <v>302</v>
      </c>
      <c r="D70" s="3" t="s">
        <v>18</v>
      </c>
      <c r="E70" s="3" t="s">
        <v>210</v>
      </c>
      <c r="F70" s="3" t="s">
        <v>337</v>
      </c>
      <c r="G70" s="3" t="s">
        <v>338</v>
      </c>
    </row>
    <row r="71" customFormat="false" ht="46.25" hidden="false" customHeight="false" outlineLevel="0" collapsed="false">
      <c r="A71" s="2" t="s">
        <v>167</v>
      </c>
      <c r="B71" s="3" t="s">
        <v>162</v>
      </c>
      <c r="C71" s="3" t="s">
        <v>302</v>
      </c>
      <c r="D71" s="3" t="s">
        <v>21</v>
      </c>
      <c r="E71" s="3" t="s">
        <v>213</v>
      </c>
      <c r="F71" s="3" t="s">
        <v>339</v>
      </c>
      <c r="G71" s="3" t="s">
        <v>340</v>
      </c>
    </row>
    <row r="72" customFormat="false" ht="46.25" hidden="false" customHeight="false" outlineLevel="0" collapsed="false">
      <c r="A72" s="2" t="s">
        <v>169</v>
      </c>
      <c r="B72" s="3" t="s">
        <v>171</v>
      </c>
      <c r="C72" s="3" t="s">
        <v>302</v>
      </c>
      <c r="D72" s="3" t="s">
        <v>9</v>
      </c>
      <c r="E72" s="3" t="s">
        <v>201</v>
      </c>
      <c r="F72" s="3" t="s">
        <v>341</v>
      </c>
      <c r="G72" s="3" t="s">
        <v>342</v>
      </c>
    </row>
    <row r="73" customFormat="false" ht="35.05" hidden="false" customHeight="false" outlineLevel="0" collapsed="false">
      <c r="A73" s="2" t="s">
        <v>172</v>
      </c>
      <c r="B73" s="3" t="s">
        <v>171</v>
      </c>
      <c r="C73" s="3" t="s">
        <v>302</v>
      </c>
      <c r="D73" s="3" t="s">
        <v>12</v>
      </c>
      <c r="E73" s="3" t="s">
        <v>204</v>
      </c>
      <c r="F73" s="3" t="s">
        <v>343</v>
      </c>
      <c r="G73" s="3" t="s">
        <v>342</v>
      </c>
    </row>
    <row r="74" customFormat="false" ht="23.85" hidden="false" customHeight="false" outlineLevel="0" collapsed="false">
      <c r="A74" s="2" t="s">
        <v>174</v>
      </c>
      <c r="B74" s="3" t="s">
        <v>171</v>
      </c>
      <c r="C74" s="3" t="s">
        <v>302</v>
      </c>
      <c r="D74" s="3" t="s">
        <v>18</v>
      </c>
      <c r="E74" s="3" t="s">
        <v>210</v>
      </c>
      <c r="F74" s="3" t="s">
        <v>344</v>
      </c>
      <c r="G74" s="3" t="s">
        <v>345</v>
      </c>
    </row>
    <row r="75" customFormat="false" ht="35.05" hidden="false" customHeight="false" outlineLevel="0" collapsed="false">
      <c r="A75" s="2" t="s">
        <v>176</v>
      </c>
      <c r="B75" s="3" t="s">
        <v>171</v>
      </c>
      <c r="C75" s="3" t="s">
        <v>302</v>
      </c>
      <c r="D75" s="3" t="s">
        <v>21</v>
      </c>
      <c r="E75" s="3" t="s">
        <v>213</v>
      </c>
      <c r="F75" s="3" t="s">
        <v>346</v>
      </c>
      <c r="G75" s="3" t="s">
        <v>347</v>
      </c>
    </row>
    <row r="76" customFormat="false" ht="35.05" hidden="false" customHeight="false" outlineLevel="0" collapsed="false">
      <c r="A76" s="2" t="s">
        <v>178</v>
      </c>
      <c r="B76" s="3" t="s">
        <v>180</v>
      </c>
      <c r="C76" s="3" t="s">
        <v>302</v>
      </c>
      <c r="D76" s="3" t="s">
        <v>9</v>
      </c>
      <c r="E76" s="3" t="s">
        <v>201</v>
      </c>
      <c r="F76" s="3" t="s">
        <v>348</v>
      </c>
      <c r="G76" s="3" t="s">
        <v>288</v>
      </c>
    </row>
    <row r="77" customFormat="false" ht="35.05" hidden="false" customHeight="false" outlineLevel="0" collapsed="false">
      <c r="A77" s="2" t="s">
        <v>181</v>
      </c>
      <c r="B77" s="3" t="s">
        <v>180</v>
      </c>
      <c r="C77" s="3" t="s">
        <v>302</v>
      </c>
      <c r="D77" s="3" t="s">
        <v>12</v>
      </c>
      <c r="E77" s="3" t="s">
        <v>204</v>
      </c>
      <c r="F77" s="3" t="s">
        <v>349</v>
      </c>
      <c r="G77" s="3" t="s">
        <v>288</v>
      </c>
    </row>
    <row r="78" customFormat="false" ht="23.85" hidden="false" customHeight="false" outlineLevel="0" collapsed="false">
      <c r="A78" s="2" t="s">
        <v>183</v>
      </c>
      <c r="B78" s="3" t="s">
        <v>180</v>
      </c>
      <c r="C78" s="3" t="s">
        <v>302</v>
      </c>
      <c r="D78" s="3" t="s">
        <v>18</v>
      </c>
      <c r="E78" s="3" t="s">
        <v>210</v>
      </c>
      <c r="F78" s="3" t="s">
        <v>350</v>
      </c>
      <c r="G78" s="3" t="s">
        <v>351</v>
      </c>
    </row>
    <row r="79" customFormat="false" ht="35.05" hidden="false" customHeight="false" outlineLevel="0" collapsed="false">
      <c r="A79" s="2" t="s">
        <v>185</v>
      </c>
      <c r="B79" s="3" t="s">
        <v>180</v>
      </c>
      <c r="C79" s="3" t="s">
        <v>302</v>
      </c>
      <c r="D79" s="3" t="s">
        <v>21</v>
      </c>
      <c r="E79" s="3" t="s">
        <v>213</v>
      </c>
      <c r="F79" s="3" t="s">
        <v>352</v>
      </c>
      <c r="G79" s="3" t="s">
        <v>353</v>
      </c>
    </row>
    <row r="80" customFormat="false" ht="46.25" hidden="false" customHeight="false" outlineLevel="0" collapsed="false">
      <c r="A80" s="2" t="s">
        <v>187</v>
      </c>
      <c r="B80" s="3" t="s">
        <v>189</v>
      </c>
      <c r="C80" s="3" t="s">
        <v>302</v>
      </c>
      <c r="D80" s="3" t="s">
        <v>9</v>
      </c>
      <c r="E80" s="3" t="s">
        <v>201</v>
      </c>
      <c r="F80" s="3" t="s">
        <v>354</v>
      </c>
      <c r="G80" s="3" t="s">
        <v>355</v>
      </c>
    </row>
    <row r="81" customFormat="false" ht="35.05" hidden="false" customHeight="false" outlineLevel="0" collapsed="false">
      <c r="A81" s="2" t="s">
        <v>190</v>
      </c>
      <c r="B81" s="3" t="s">
        <v>189</v>
      </c>
      <c r="C81" s="3" t="s">
        <v>302</v>
      </c>
      <c r="D81" s="3" t="s">
        <v>12</v>
      </c>
      <c r="E81" s="3" t="s">
        <v>204</v>
      </c>
      <c r="F81" s="3" t="s">
        <v>356</v>
      </c>
      <c r="G81" s="3" t="s">
        <v>355</v>
      </c>
    </row>
    <row r="82" customFormat="false" ht="23.85" hidden="false" customHeight="false" outlineLevel="0" collapsed="false">
      <c r="A82" s="2" t="s">
        <v>192</v>
      </c>
      <c r="B82" s="3" t="s">
        <v>189</v>
      </c>
      <c r="C82" s="3" t="s">
        <v>302</v>
      </c>
      <c r="D82" s="3" t="s">
        <v>18</v>
      </c>
      <c r="E82" s="3" t="s">
        <v>210</v>
      </c>
      <c r="F82" s="3" t="s">
        <v>357</v>
      </c>
      <c r="G82" s="3" t="s">
        <v>358</v>
      </c>
    </row>
    <row r="83" customFormat="false" ht="35.05" hidden="false" customHeight="false" outlineLevel="0" collapsed="false">
      <c r="A83" s="2" t="s">
        <v>194</v>
      </c>
      <c r="B83" s="3" t="s">
        <v>189</v>
      </c>
      <c r="C83" s="3" t="s">
        <v>302</v>
      </c>
      <c r="D83" s="3" t="s">
        <v>21</v>
      </c>
      <c r="E83" s="3" t="s">
        <v>213</v>
      </c>
      <c r="F83" s="3" t="s">
        <v>359</v>
      </c>
      <c r="G83" s="3" t="s">
        <v>299</v>
      </c>
    </row>
  </sheetData>
  <autoFilter ref="A1:G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4" min="3" style="0" width="14"/>
    <col collapsed="false" customWidth="true" hidden="false" outlineLevel="0" max="5" min="5" style="0" width="60"/>
  </cols>
  <sheetData>
    <row r="1" customFormat="false" ht="16.15" hidden="false" customHeight="false" outlineLevel="0" collapsed="false">
      <c r="A1" s="4" t="s">
        <v>360</v>
      </c>
      <c r="B1" s="5"/>
      <c r="C1" s="5"/>
      <c r="D1" s="5"/>
      <c r="E1" s="5"/>
    </row>
    <row r="2" customFormat="false" ht="15" hidden="false" customHeight="false" outlineLevel="0" collapsed="false">
      <c r="A2" s="5"/>
      <c r="B2" s="5"/>
      <c r="C2" s="5"/>
      <c r="D2" s="5"/>
      <c r="E2" s="5"/>
    </row>
    <row r="3" customFormat="false" ht="57.75" hidden="false" customHeight="true" outlineLevel="0" collapsed="false">
      <c r="A3" s="6" t="s">
        <v>361</v>
      </c>
      <c r="B3" s="7" t="s">
        <v>362</v>
      </c>
      <c r="C3" s="7"/>
      <c r="D3" s="7"/>
      <c r="E3" s="7"/>
    </row>
    <row r="4" customFormat="false" ht="57.75" hidden="false" customHeight="true" outlineLevel="0" collapsed="false">
      <c r="A4" s="6" t="s">
        <v>363</v>
      </c>
      <c r="B4" s="7" t="s">
        <v>364</v>
      </c>
      <c r="C4" s="7"/>
      <c r="D4" s="7"/>
      <c r="E4" s="7"/>
    </row>
    <row r="5" customFormat="false" ht="57.75" hidden="false" customHeight="true" outlineLevel="0" collapsed="false">
      <c r="A5" s="6" t="s">
        <v>365</v>
      </c>
      <c r="B5" s="7" t="s">
        <v>366</v>
      </c>
      <c r="C5" s="7"/>
      <c r="D5" s="7"/>
      <c r="E5" s="7"/>
    </row>
    <row r="6" customFormat="false" ht="57.75" hidden="false" customHeight="true" outlineLevel="0" collapsed="false">
      <c r="A6" s="6" t="s">
        <v>367</v>
      </c>
      <c r="B6" s="7" t="s">
        <v>368</v>
      </c>
      <c r="C6" s="7"/>
      <c r="D6" s="7"/>
      <c r="E6" s="7"/>
    </row>
    <row r="7" customFormat="false" ht="15" hidden="false" customHeight="false" outlineLevel="0" collapsed="false">
      <c r="A7" s="5"/>
      <c r="B7" s="5"/>
      <c r="C7" s="5"/>
      <c r="D7" s="5"/>
      <c r="E7" s="5"/>
    </row>
    <row r="8" customFormat="false" ht="15" hidden="false" customHeight="false" outlineLevel="0" collapsed="false">
      <c r="A8" s="8" t="s">
        <v>369</v>
      </c>
      <c r="B8" s="5"/>
      <c r="C8" s="5"/>
      <c r="D8" s="5"/>
      <c r="E8" s="5"/>
    </row>
    <row r="9" customFormat="false" ht="15" hidden="false" customHeight="false" outlineLevel="0" collapsed="false">
      <c r="A9" s="9" t="s">
        <v>370</v>
      </c>
      <c r="B9" s="9" t="s">
        <v>197</v>
      </c>
      <c r="C9" s="5"/>
      <c r="D9" s="5"/>
      <c r="E9" s="5"/>
    </row>
    <row r="10" customFormat="false" ht="15" hidden="false" customHeight="false" outlineLevel="0" collapsed="false">
      <c r="A10" s="10" t="s">
        <v>9</v>
      </c>
      <c r="B10" s="10" t="s">
        <v>201</v>
      </c>
      <c r="C10" s="5"/>
      <c r="D10" s="5"/>
      <c r="E10" s="5"/>
    </row>
    <row r="11" customFormat="false" ht="15" hidden="false" customHeight="false" outlineLevel="0" collapsed="false">
      <c r="A11" s="10" t="s">
        <v>12</v>
      </c>
      <c r="B11" s="10" t="s">
        <v>204</v>
      </c>
      <c r="C11" s="5"/>
      <c r="D11" s="5"/>
      <c r="E11" s="5"/>
    </row>
    <row r="12" customFormat="false" ht="15" hidden="false" customHeight="false" outlineLevel="0" collapsed="false">
      <c r="A12" s="10" t="s">
        <v>15</v>
      </c>
      <c r="B12" s="10" t="s">
        <v>207</v>
      </c>
      <c r="C12" s="5"/>
      <c r="D12" s="5"/>
      <c r="E12" s="5"/>
    </row>
    <row r="13" customFormat="false" ht="15" hidden="false" customHeight="false" outlineLevel="0" collapsed="false">
      <c r="A13" s="10" t="s">
        <v>18</v>
      </c>
      <c r="B13" s="10" t="s">
        <v>210</v>
      </c>
      <c r="C13" s="5"/>
      <c r="D13" s="5"/>
      <c r="E13" s="5"/>
    </row>
    <row r="14" customFormat="false" ht="15" hidden="false" customHeight="false" outlineLevel="0" collapsed="false">
      <c r="A14" s="10" t="s">
        <v>21</v>
      </c>
      <c r="B14" s="10" t="s">
        <v>213</v>
      </c>
      <c r="C14" s="5"/>
      <c r="D14" s="5"/>
      <c r="E14" s="5"/>
    </row>
    <row r="15" customFormat="false" ht="15" hidden="false" customHeight="false" outlineLevel="0" collapsed="false">
      <c r="A15" s="10" t="s">
        <v>24</v>
      </c>
      <c r="B15" s="10" t="s">
        <v>216</v>
      </c>
      <c r="C15" s="5"/>
      <c r="D15" s="5"/>
      <c r="E15" s="5"/>
    </row>
    <row r="16" customFormat="false" ht="15" hidden="false" customHeight="false" outlineLevel="0" collapsed="false">
      <c r="A16" s="5"/>
      <c r="B16" s="5"/>
      <c r="C16" s="5"/>
      <c r="D16" s="5"/>
      <c r="E16" s="5"/>
    </row>
    <row r="17" customFormat="false" ht="15" hidden="false" customHeight="false" outlineLevel="0" collapsed="false">
      <c r="A17" s="8" t="s">
        <v>371</v>
      </c>
      <c r="B17" s="5"/>
      <c r="C17" s="5"/>
      <c r="D17" s="5"/>
      <c r="E17" s="5"/>
    </row>
    <row r="18" customFormat="false" ht="15" hidden="false" customHeight="false" outlineLevel="0" collapsed="false">
      <c r="A18" s="9" t="s">
        <v>196</v>
      </c>
      <c r="B18" s="9" t="s">
        <v>372</v>
      </c>
      <c r="C18" s="9"/>
      <c r="D18" s="9"/>
      <c r="E18" s="9"/>
    </row>
    <row r="19" customFormat="false" ht="27.75" hidden="false" customHeight="true" outlineLevel="0" collapsed="false">
      <c r="A19" s="3" t="s">
        <v>373</v>
      </c>
      <c r="B19" s="3" t="s">
        <v>374</v>
      </c>
      <c r="C19" s="3"/>
      <c r="D19" s="3"/>
      <c r="E19" s="3"/>
    </row>
    <row r="20" customFormat="false" ht="27.75" hidden="false" customHeight="true" outlineLevel="0" collapsed="false">
      <c r="A20" s="3" t="s">
        <v>375</v>
      </c>
      <c r="B20" s="3" t="s">
        <v>376</v>
      </c>
      <c r="C20" s="3"/>
      <c r="D20" s="3"/>
      <c r="E20" s="3"/>
    </row>
    <row r="21" customFormat="false" ht="27.75" hidden="false" customHeight="true" outlineLevel="0" collapsed="false">
      <c r="A21" s="3" t="s">
        <v>377</v>
      </c>
      <c r="B21" s="3" t="s">
        <v>378</v>
      </c>
      <c r="C21" s="3"/>
      <c r="D21" s="3"/>
      <c r="E21" s="3"/>
    </row>
    <row r="22" customFormat="false" ht="27.75" hidden="false" customHeight="true" outlineLevel="0" collapsed="false">
      <c r="A22" s="3" t="s">
        <v>302</v>
      </c>
      <c r="B22" s="3" t="s">
        <v>379</v>
      </c>
      <c r="C22" s="3"/>
      <c r="D22" s="3"/>
      <c r="E22" s="3"/>
    </row>
    <row r="23" customFormat="false" ht="15" hidden="false" customHeight="false" outlineLevel="0" collapsed="false">
      <c r="A23" s="5"/>
      <c r="B23" s="5"/>
      <c r="C23" s="5"/>
      <c r="D23" s="5"/>
      <c r="E23" s="5"/>
    </row>
    <row r="24" customFormat="false" ht="15" hidden="false" customHeight="false" outlineLevel="0" collapsed="false">
      <c r="A24" s="8" t="s">
        <v>380</v>
      </c>
      <c r="B24" s="5"/>
      <c r="C24" s="5"/>
      <c r="D24" s="5"/>
      <c r="E24" s="5"/>
    </row>
    <row r="25" customFormat="false" ht="23.85" hidden="false" customHeight="false" outlineLevel="0" collapsed="false">
      <c r="A25" s="11" t="s">
        <v>4</v>
      </c>
      <c r="B25" s="11" t="s">
        <v>381</v>
      </c>
      <c r="C25" s="11" t="s">
        <v>382</v>
      </c>
      <c r="D25" s="11" t="s">
        <v>383</v>
      </c>
      <c r="E25" s="5"/>
    </row>
    <row r="26" customFormat="false" ht="15" hidden="false" customHeight="false" outlineLevel="0" collapsed="false">
      <c r="A26" s="10" t="s">
        <v>9</v>
      </c>
      <c r="B26" s="10" t="n">
        <f aca="false">COUNTIF(TARA!$E$2:$E$83,A26)</f>
        <v>17</v>
      </c>
      <c r="C26" s="10" t="n">
        <f aca="false">COUNTIFS(TARA!$E$2:$E$83,A26,TARA!$D$2:$D$83,"True")</f>
        <v>17</v>
      </c>
      <c r="D26" s="10" t="n">
        <f aca="false">COUNTIFS(TARA!$E$2:$E$83,A26,TARA!$D$2:$D$83,"False")</f>
        <v>0</v>
      </c>
      <c r="E26" s="5"/>
    </row>
    <row r="27" customFormat="false" ht="15" hidden="false" customHeight="false" outlineLevel="0" collapsed="false">
      <c r="A27" s="10" t="s">
        <v>12</v>
      </c>
      <c r="B27" s="10" t="n">
        <f aca="false">COUNTIF(TARA!$E$2:$E$83,A27)</f>
        <v>19</v>
      </c>
      <c r="C27" s="10" t="n">
        <f aca="false">COUNTIFS(TARA!$E$2:$E$83,A27,TARA!$D$2:$D$83,"True")</f>
        <v>19</v>
      </c>
      <c r="D27" s="10" t="n">
        <f aca="false">COUNTIFS(TARA!$E$2:$E$83,A27,TARA!$D$2:$D$83,"False")</f>
        <v>0</v>
      </c>
      <c r="E27" s="5"/>
    </row>
    <row r="28" customFormat="false" ht="15" hidden="false" customHeight="false" outlineLevel="0" collapsed="false">
      <c r="A28" s="10" t="s">
        <v>15</v>
      </c>
      <c r="B28" s="10" t="n">
        <f aca="false">COUNTIF(TARA!$E$2:$E$83,A28)</f>
        <v>5</v>
      </c>
      <c r="C28" s="10" t="n">
        <f aca="false">COUNTIFS(TARA!$E$2:$E$83,A28,TARA!$D$2:$D$83,"True")</f>
        <v>2</v>
      </c>
      <c r="D28" s="10" t="n">
        <f aca="false">COUNTIFS(TARA!$E$2:$E$83,A28,TARA!$D$2:$D$83,"False")</f>
        <v>3</v>
      </c>
      <c r="E28" s="5"/>
    </row>
    <row r="29" customFormat="false" ht="15" hidden="false" customHeight="false" outlineLevel="0" collapsed="false">
      <c r="A29" s="10" t="s">
        <v>18</v>
      </c>
      <c r="B29" s="10" t="n">
        <f aca="false">COUNTIF(TARA!$E$2:$E$83,A29)</f>
        <v>17</v>
      </c>
      <c r="C29" s="10" t="n">
        <f aca="false">COUNTIFS(TARA!$E$2:$E$83,A29,TARA!$D$2:$D$83,"True")</f>
        <v>2</v>
      </c>
      <c r="D29" s="10" t="n">
        <f aca="false">COUNTIFS(TARA!$E$2:$E$83,A29,TARA!$D$2:$D$83,"False")</f>
        <v>15</v>
      </c>
      <c r="E29" s="5"/>
    </row>
    <row r="30" customFormat="false" ht="15" hidden="false" customHeight="false" outlineLevel="0" collapsed="false">
      <c r="A30" s="10" t="s">
        <v>21</v>
      </c>
      <c r="B30" s="10" t="n">
        <f aca="false">COUNTIF(TARA!$E$2:$E$83,A30)</f>
        <v>19</v>
      </c>
      <c r="C30" s="10" t="n">
        <f aca="false">COUNTIFS(TARA!$E$2:$E$83,A30,TARA!$D$2:$D$83,"True")</f>
        <v>19</v>
      </c>
      <c r="D30" s="10" t="n">
        <f aca="false">COUNTIFS(TARA!$E$2:$E$83,A30,TARA!$D$2:$D$83,"False")</f>
        <v>0</v>
      </c>
      <c r="E30" s="5"/>
    </row>
    <row r="31" customFormat="false" ht="15" hidden="false" customHeight="false" outlineLevel="0" collapsed="false">
      <c r="A31" s="10" t="s">
        <v>24</v>
      </c>
      <c r="B31" s="10" t="n">
        <f aca="false">COUNTIF(TARA!$E$2:$E$83,A31)</f>
        <v>5</v>
      </c>
      <c r="C31" s="10" t="n">
        <f aca="false">COUNTIFS(TARA!$E$2:$E$83,A31,TARA!$D$2:$D$83,"True")</f>
        <v>5</v>
      </c>
      <c r="D31" s="10" t="n">
        <f aca="false">COUNTIFS(TARA!$E$2:$E$83,A31,TARA!$D$2:$D$83,"False")</f>
        <v>0</v>
      </c>
      <c r="E31" s="5"/>
    </row>
    <row r="32" customFormat="false" ht="15" hidden="false" customHeight="false" outlineLevel="0" collapsed="false">
      <c r="A32" s="12" t="s">
        <v>384</v>
      </c>
      <c r="B32" s="12" t="n">
        <f aca="false">SUM(B26:B31)</f>
        <v>82</v>
      </c>
      <c r="C32" s="12" t="n">
        <f aca="false">SUM(C26:C31)</f>
        <v>64</v>
      </c>
      <c r="D32" s="12" t="n">
        <f aca="false">SUM(D26:D31)</f>
        <v>18</v>
      </c>
      <c r="E32" s="5"/>
    </row>
  </sheetData>
  <mergeCells count="9">
    <mergeCell ref="B3:E3"/>
    <mergeCell ref="B4:E4"/>
    <mergeCell ref="B5:E5"/>
    <mergeCell ref="B6:E6"/>
    <mergeCell ref="B18:E18"/>
    <mergeCell ref="B19:E19"/>
    <mergeCell ref="B20:E20"/>
    <mergeCell ref="B21:E21"/>
    <mergeCell ref="B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2026-09-28T07:34:52Z</dcterms:created>
  <dc:creator>openpyxl</dc:creator>
  <dc:description/>
  <dc:language>en-US</dc:language>
  <cp:lastModifiedBy/>
  <dcterms:modified xsi:type="dcterms:W3CDTF">2026-09-28T07:34:52Z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