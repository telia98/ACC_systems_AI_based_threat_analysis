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A" sheetId="1" state="visible" r:id="rId3"/>
    <sheet name="Details" sheetId="2" state="visible" r:id="rId4"/>
    <sheet name="Assets" sheetId="3" state="visible" r:id="rId5"/>
    <sheet name="Summary" sheetId="4" state="visible" r:id="rId6"/>
  </sheets>
  <definedNames>
    <definedName function="false" hidden="false" localSheetId="2" name="_xlnm.Print_Titles" vbProcedure="false">Assets!$1:$1</definedName>
    <definedName function="false" hidden="false" localSheetId="1" name="_xlnm.Print_Titles" vbProcedure="false">Details!$1:$1</definedName>
    <definedName function="false" hidden="true" localSheetId="1" name="_xlnm._FilterDatabase" vbProcedure="false">Details!$A$1:$G$115</definedName>
    <definedName function="false" hidden="false" localSheetId="3" name="_xlnm.Print_Titles" vbProcedure="false">Summary!$1:$1</definedName>
    <definedName function="false" hidden="false" localSheetId="0" name="_xlnm.Print_Titles" vbProcedure="false">TARA!$1:$1</definedName>
    <definedName function="false" hidden="true" localSheetId="0" name="_xlnm._FilterDatabase" vbProcedure="false">TARA!$A$1:$E$115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<sst xmlns="http://schemas.openxmlformats.org/spreadsheetml/2006/main" count="1013" uniqueCount="478">
  <si>
    <t xml:space="preserve">ID</t>
  </si>
  <si>
    <t xml:space="preserve">Name</t>
  </si>
  <si>
    <t xml:space="preserve">Assets</t>
  </si>
  <si>
    <t xml:space="preserve">To Be Assessed</t>
  </si>
  <si>
    <t xml:space="preserve">Category</t>
  </si>
  <si>
    <t xml:space="preserve">TS-001</t>
  </si>
  <si>
    <t xml:space="preserve">Impersonation of AI Controller Module issuing fake driving decisions</t>
  </si>
  <si>
    <t xml:space="preserve">AI Controller Module</t>
  </si>
  <si>
    <t xml:space="preserve">Spoofing</t>
  </si>
  <si>
    <t xml:space="preserve">TS-002</t>
  </si>
  <si>
    <t xml:space="preserve">Tampering with AI model, parameters or software of AI Controller Module</t>
  </si>
  <si>
    <t xml:space="preserve">Tampering</t>
  </si>
  <si>
    <t xml:space="preserve">TS-003</t>
  </si>
  <si>
    <t xml:space="preserve">Repudiation of AI driving decisions due to missing tamper-proof logging</t>
  </si>
  <si>
    <t xml:space="preserve">Repudiation</t>
  </si>
  <si>
    <t xml:space="preserve">TS-004</t>
  </si>
  <si>
    <t xml:space="preserve">Extraction of AI model and disclosure of driving data from AI Controller Module</t>
  </si>
  <si>
    <t xml:space="preserve">Information Disclosure</t>
  </si>
  <si>
    <t xml:space="preserve">TS-005</t>
  </si>
  <si>
    <t xml:space="preserve">Denial of service of AI Controller Module</t>
  </si>
  <si>
    <t xml:space="preserve">Denial of Service</t>
  </si>
  <si>
    <t xml:space="preserve">TS-006</t>
  </si>
  <si>
    <t xml:space="preserve">Elevation of privilege on AI Controller Module</t>
  </si>
  <si>
    <t xml:space="preserve">Elevation of Privilege</t>
  </si>
  <si>
    <t xml:space="preserve">TS-007</t>
  </si>
  <si>
    <t xml:space="preserve">Impersonation of Perception Module sending a fake environment model</t>
  </si>
  <si>
    <t xml:space="preserve">Perception Module</t>
  </si>
  <si>
    <t xml:space="preserve">TS-008</t>
  </si>
  <si>
    <t xml:space="preserve">Tampering with sensor fusion software or calibration of Perception Module</t>
  </si>
  <si>
    <t xml:space="preserve">TS-009</t>
  </si>
  <si>
    <t xml:space="preserve">Repudiation of perception outputs</t>
  </si>
  <si>
    <t xml:space="preserve">TS-010</t>
  </si>
  <si>
    <t xml:space="preserve">Disclosure of fused sensor data from Perception Module</t>
  </si>
  <si>
    <t xml:space="preserve">TS-011</t>
  </si>
  <si>
    <t xml:space="preserve">Denial of service of Perception Module</t>
  </si>
  <si>
    <t xml:space="preserve">TS-012</t>
  </si>
  <si>
    <t xml:space="preserve">Elevation of privilege on Perception Module</t>
  </si>
  <si>
    <t xml:space="preserve">TS-013</t>
  </si>
  <si>
    <t xml:space="preserve">Impersonation of Actuation Module towards the actuators</t>
  </si>
  <si>
    <t xml:space="preserve">Actuation Module</t>
  </si>
  <si>
    <t xml:space="preserve">TS-014</t>
  </si>
  <si>
    <t xml:space="preserve">Tampering with control logic of Actuation Module</t>
  </si>
  <si>
    <t xml:space="preserve">TS-015</t>
  </si>
  <si>
    <t xml:space="preserve">Repudiation of actuation commands</t>
  </si>
  <si>
    <t xml:space="preserve">TS-016</t>
  </si>
  <si>
    <t xml:space="preserve">Disclosure of actuation data from Actuation Module</t>
  </si>
  <si>
    <t xml:space="preserve">TS-017</t>
  </si>
  <si>
    <t xml:space="preserve">Denial of service of Actuation Module</t>
  </si>
  <si>
    <t xml:space="preserve">TS-018</t>
  </si>
  <si>
    <t xml:space="preserve">Elevation of privilege on Actuation Module</t>
  </si>
  <si>
    <t xml:space="preserve">TS-019</t>
  </si>
  <si>
    <t xml:space="preserve">Camera spoofing via adversarial patterns or projected objects</t>
  </si>
  <si>
    <t xml:space="preserve">Camera</t>
  </si>
  <si>
    <t xml:space="preserve">TS-020</t>
  </si>
  <si>
    <t xml:space="preserve">Physical or firmware tampering with Camera</t>
  </si>
  <si>
    <t xml:space="preserve">TS-021</t>
  </si>
  <si>
    <t xml:space="preserve">Repudiation of camera data</t>
  </si>
  <si>
    <t xml:space="preserve">TS-022</t>
  </si>
  <si>
    <t xml:space="preserve">Disclosure of camera images</t>
  </si>
  <si>
    <t xml:space="preserve">TS-023</t>
  </si>
  <si>
    <t xml:space="preserve">Camera blinding or dazzling</t>
  </si>
  <si>
    <t xml:space="preserve">TS-024</t>
  </si>
  <si>
    <t xml:space="preserve">Elevation of privilege on Camera</t>
  </si>
  <si>
    <t xml:space="preserve">TS-025</t>
  </si>
  <si>
    <t xml:space="preserve">Radar spoofing with fake echoes (ghost targets)</t>
  </si>
  <si>
    <t xml:space="preserve">Radar</t>
  </si>
  <si>
    <t xml:space="preserve">TS-026</t>
  </si>
  <si>
    <t xml:space="preserve">Physical or firmware tampering with Radar</t>
  </si>
  <si>
    <t xml:space="preserve">TS-027</t>
  </si>
  <si>
    <t xml:space="preserve">Repudiation of radar data</t>
  </si>
  <si>
    <t xml:space="preserve">TS-028</t>
  </si>
  <si>
    <t xml:space="preserve">Disclosure of radar detections</t>
  </si>
  <si>
    <t xml:space="preserve">TS-029</t>
  </si>
  <si>
    <t xml:space="preserve">Radar jamming</t>
  </si>
  <si>
    <t xml:space="preserve">TS-030</t>
  </si>
  <si>
    <t xml:space="preserve">Elevation of privilege on Radar</t>
  </si>
  <si>
    <t xml:space="preserve">TS-031</t>
  </si>
  <si>
    <t xml:space="preserve">LIDAR spoofing via injected laser pulses</t>
  </si>
  <si>
    <t xml:space="preserve">LIDAR</t>
  </si>
  <si>
    <t xml:space="preserve">TS-032</t>
  </si>
  <si>
    <t xml:space="preserve">Physical or firmware tampering with LIDAR</t>
  </si>
  <si>
    <t xml:space="preserve">TS-033</t>
  </si>
  <si>
    <t xml:space="preserve">Repudiation of LIDAR data</t>
  </si>
  <si>
    <t xml:space="preserve">TS-034</t>
  </si>
  <si>
    <t xml:space="preserve">Disclosure of LIDAR point clouds</t>
  </si>
  <si>
    <t xml:space="preserve">TS-035</t>
  </si>
  <si>
    <t xml:space="preserve">LIDAR saturation or jamming</t>
  </si>
  <si>
    <t xml:space="preserve">TS-036</t>
  </si>
  <si>
    <t xml:space="preserve">Elevation of privilege on LIDAR</t>
  </si>
  <si>
    <t xml:space="preserve">TS-037</t>
  </si>
  <si>
    <t xml:space="preserve">Spoofing of V2X messages received by OBU</t>
  </si>
  <si>
    <t xml:space="preserve">OBU</t>
  </si>
  <si>
    <t xml:space="preserve">TS-038</t>
  </si>
  <si>
    <t xml:space="preserve">Tampering with OBU firmware or V2X messages</t>
  </si>
  <si>
    <t xml:space="preserve">TS-039</t>
  </si>
  <si>
    <t xml:space="preserve">Repudiation of V2X messages</t>
  </si>
  <si>
    <t xml:space="preserve">TS-040</t>
  </si>
  <si>
    <t xml:space="preserve">Disclosure of location data and keys from OBU</t>
  </si>
  <si>
    <t xml:space="preserve">TS-041</t>
  </si>
  <si>
    <t xml:space="preserve">Jamming or flooding of OBU</t>
  </si>
  <si>
    <t xml:space="preserve">TS-042</t>
  </si>
  <si>
    <t xml:space="preserve">Remote code execution and privilege escalation via OBU</t>
  </si>
  <si>
    <t xml:space="preserve">TS-043</t>
  </si>
  <si>
    <t xml:space="preserve">Impersonation of Brake actuator</t>
  </si>
  <si>
    <t xml:space="preserve">Brake</t>
  </si>
  <si>
    <t xml:space="preserve">TS-044</t>
  </si>
  <si>
    <t xml:space="preserve">Tampering with Brake actuator</t>
  </si>
  <si>
    <t xml:space="preserve">TS-045</t>
  </si>
  <si>
    <t xml:space="preserve">Repudiation of brake actions</t>
  </si>
  <si>
    <t xml:space="preserve">TS-046</t>
  </si>
  <si>
    <t xml:space="preserve">Disclosure of brake data</t>
  </si>
  <si>
    <t xml:space="preserve">TS-047</t>
  </si>
  <si>
    <t xml:space="preserve">Denial of service of Brake actuator</t>
  </si>
  <si>
    <t xml:space="preserve">TS-048</t>
  </si>
  <si>
    <t xml:space="preserve">Elevation of privilege on Brake actuator</t>
  </si>
  <si>
    <t xml:space="preserve">TS-049</t>
  </si>
  <si>
    <t xml:space="preserve">Impersonation of Throttle actuator</t>
  </si>
  <si>
    <t xml:space="preserve">Throttle</t>
  </si>
  <si>
    <t xml:space="preserve">TS-050</t>
  </si>
  <si>
    <t xml:space="preserve">Tampering with Throttle actuator</t>
  </si>
  <si>
    <t xml:space="preserve">TS-051</t>
  </si>
  <si>
    <t xml:space="preserve">Repudiation of throttle actions</t>
  </si>
  <si>
    <t xml:space="preserve">TS-052</t>
  </si>
  <si>
    <t xml:space="preserve">Disclosure of throttle data</t>
  </si>
  <si>
    <t xml:space="preserve">TS-053</t>
  </si>
  <si>
    <t xml:space="preserve">Denial of service of Throttle actuator</t>
  </si>
  <si>
    <t xml:space="preserve">TS-054</t>
  </si>
  <si>
    <t xml:space="preserve">Elevation of privilege on Throttle actuator</t>
  </si>
  <si>
    <t xml:space="preserve">TS-055</t>
  </si>
  <si>
    <t xml:space="preserve">Impersonation of AEB</t>
  </si>
  <si>
    <t xml:space="preserve">AEB</t>
  </si>
  <si>
    <t xml:space="preserve">TS-056</t>
  </si>
  <si>
    <t xml:space="preserve">Tampering with AEB</t>
  </si>
  <si>
    <t xml:space="preserve">TS-057</t>
  </si>
  <si>
    <t xml:space="preserve">Repudiation of AEB actions</t>
  </si>
  <si>
    <t xml:space="preserve">TS-058</t>
  </si>
  <si>
    <t xml:space="preserve">Disclosure of AEB data</t>
  </si>
  <si>
    <t xml:space="preserve">TS-059</t>
  </si>
  <si>
    <t xml:space="preserve">Denial of service of AEB</t>
  </si>
  <si>
    <t xml:space="preserve">TS-060</t>
  </si>
  <si>
    <t xml:space="preserve">Elevation of privilege on AEB</t>
  </si>
  <si>
    <t xml:space="preserve">TS-061</t>
  </si>
  <si>
    <t xml:space="preserve">Injection of fake camera frames on Camera to Perception link</t>
  </si>
  <si>
    <t xml:space="preserve">Camera → Perception Module (C Out → PM In)</t>
  </si>
  <si>
    <t xml:space="preserve">TS-062</t>
  </si>
  <si>
    <t xml:space="preserve">Manipulation of camera stream in transit</t>
  </si>
  <si>
    <t xml:space="preserve">TS-063</t>
  </si>
  <si>
    <t xml:space="preserve">Repudiation on Camera to Perception link</t>
  </si>
  <si>
    <t xml:space="preserve">TS-064</t>
  </si>
  <si>
    <t xml:space="preserve">Eavesdropping on camera stream</t>
  </si>
  <si>
    <t xml:space="preserve">TS-065</t>
  </si>
  <si>
    <t xml:space="preserve">Disruption of camera link</t>
  </si>
  <si>
    <t xml:space="preserve">TS-066</t>
  </si>
  <si>
    <t xml:space="preserve">Elevation of privilege on Camera to Perception link</t>
  </si>
  <si>
    <t xml:space="preserve">TS-067</t>
  </si>
  <si>
    <t xml:space="preserve">Injection of fake radar detections on Radar to Perception link</t>
  </si>
  <si>
    <t xml:space="preserve">Radar → Perception Module (R Out → PM In)</t>
  </si>
  <si>
    <t xml:space="preserve">TS-068</t>
  </si>
  <si>
    <t xml:space="preserve">Manipulation of radar data in transit</t>
  </si>
  <si>
    <t xml:space="preserve">TS-069</t>
  </si>
  <si>
    <t xml:space="preserve">Repudiation on Radar to Perception link</t>
  </si>
  <si>
    <t xml:space="preserve">TS-070</t>
  </si>
  <si>
    <t xml:space="preserve">Eavesdropping on radar data</t>
  </si>
  <si>
    <t xml:space="preserve">TS-071</t>
  </si>
  <si>
    <t xml:space="preserve">Disruption of radar link</t>
  </si>
  <si>
    <t xml:space="preserve">TS-072</t>
  </si>
  <si>
    <t xml:space="preserve">Elevation of privilege on Radar to Perception link</t>
  </si>
  <si>
    <t xml:space="preserve">TS-073</t>
  </si>
  <si>
    <t xml:space="preserve">Injection of fake point clouds on LIDAR to Perception link</t>
  </si>
  <si>
    <t xml:space="preserve">LIDAR → Perception Module (L Out → PM In)</t>
  </si>
  <si>
    <t xml:space="preserve">TS-074</t>
  </si>
  <si>
    <t xml:space="preserve">Manipulation of LIDAR data in transit</t>
  </si>
  <si>
    <t xml:space="preserve">TS-075</t>
  </si>
  <si>
    <t xml:space="preserve">Repudiation on LIDAR to Perception link</t>
  </si>
  <si>
    <t xml:space="preserve">TS-076</t>
  </si>
  <si>
    <t xml:space="preserve">Eavesdropping on LIDAR data</t>
  </si>
  <si>
    <t xml:space="preserve">TS-077</t>
  </si>
  <si>
    <t xml:space="preserve">Disruption of LIDAR link</t>
  </si>
  <si>
    <t xml:space="preserve">TS-078</t>
  </si>
  <si>
    <t xml:space="preserve">Elevation of privilege on LIDAR to Perception link</t>
  </si>
  <si>
    <t xml:space="preserve">TS-079</t>
  </si>
  <si>
    <t xml:space="preserve">Injection of fake V2X data on OBU to Perception link</t>
  </si>
  <si>
    <t xml:space="preserve">OBU → Perception Module (OBU Out → PM In)</t>
  </si>
  <si>
    <t xml:space="preserve">TS-080</t>
  </si>
  <si>
    <t xml:space="preserve">Manipulation of V2X data in transit to Perception Module</t>
  </si>
  <si>
    <t xml:space="preserve">TS-081</t>
  </si>
  <si>
    <t xml:space="preserve">Repudiation on OBU to Perception link</t>
  </si>
  <si>
    <t xml:space="preserve">TS-082</t>
  </si>
  <si>
    <t xml:space="preserve">Eavesdropping on V2X data on OBU to Perception link</t>
  </si>
  <si>
    <t xml:space="preserve">TS-083</t>
  </si>
  <si>
    <t xml:space="preserve">Disruption of OBU to Perception link</t>
  </si>
  <si>
    <t xml:space="preserve">TS-084</t>
  </si>
  <si>
    <t xml:space="preserve">Elevation of privilege on OBU to Perception link</t>
  </si>
  <si>
    <t xml:space="preserve">TS-085</t>
  </si>
  <si>
    <t xml:space="preserve">Injection of fake object lists on Perception to AI Controller link</t>
  </si>
  <si>
    <t xml:space="preserve">Perception Module → AI Controller Module (PM Out → AI In)</t>
  </si>
  <si>
    <t xml:space="preserve">TS-086</t>
  </si>
  <si>
    <t xml:space="preserve">Manipulation of object list in transit</t>
  </si>
  <si>
    <t xml:space="preserve">TS-087</t>
  </si>
  <si>
    <t xml:space="preserve">Repudiation on Perception to AI Controller link</t>
  </si>
  <si>
    <t xml:space="preserve">TS-088</t>
  </si>
  <si>
    <t xml:space="preserve">Eavesdropping on object list</t>
  </si>
  <si>
    <t xml:space="preserve">TS-089</t>
  </si>
  <si>
    <t xml:space="preserve">Disruption of Perception to AI Controller link</t>
  </si>
  <si>
    <t xml:space="preserve">TS-090</t>
  </si>
  <si>
    <t xml:space="preserve">Elevation of privilege on Perception to AI Controller link</t>
  </si>
  <si>
    <t xml:space="preserve">TS-091</t>
  </si>
  <si>
    <t xml:space="preserve">Injection of forged acceleration or braking requests</t>
  </si>
  <si>
    <t xml:space="preserve">AI Controller Module → Actuation Module (AI Out → AM In)</t>
  </si>
  <si>
    <t xml:space="preserve">TS-092</t>
  </si>
  <si>
    <t xml:space="preserve">Manipulation of AI decisions in transit</t>
  </si>
  <si>
    <t xml:space="preserve">TS-093</t>
  </si>
  <si>
    <t xml:space="preserve">Repudiation on AI Controller to Actuation link</t>
  </si>
  <si>
    <t xml:space="preserve">TS-094</t>
  </si>
  <si>
    <t xml:space="preserve">Eavesdropping on AI decisions</t>
  </si>
  <si>
    <t xml:space="preserve">TS-095</t>
  </si>
  <si>
    <t xml:space="preserve">Disruption of AI Controller to Actuation link</t>
  </si>
  <si>
    <t xml:space="preserve">TS-096</t>
  </si>
  <si>
    <t xml:space="preserve">Elevation of privilege on AI Controller to Actuation link</t>
  </si>
  <si>
    <t xml:space="preserve">TS-097</t>
  </si>
  <si>
    <t xml:space="preserve">Injection of forged brake commands</t>
  </si>
  <si>
    <t xml:space="preserve">Actuation Module → Brake (AM Out → B In)</t>
  </si>
  <si>
    <t xml:space="preserve">TS-098</t>
  </si>
  <si>
    <t xml:space="preserve">Manipulation of brake commands in transit</t>
  </si>
  <si>
    <t xml:space="preserve">TS-099</t>
  </si>
  <si>
    <t xml:space="preserve">Repudiation on Actuation to Brake link</t>
  </si>
  <si>
    <t xml:space="preserve">TS-100</t>
  </si>
  <si>
    <t xml:space="preserve">Eavesdropping on brake commands</t>
  </si>
  <si>
    <t xml:space="preserve">TS-101</t>
  </si>
  <si>
    <t xml:space="preserve">Disruption of Actuation to Brake link</t>
  </si>
  <si>
    <t xml:space="preserve">TS-102</t>
  </si>
  <si>
    <t xml:space="preserve">Elevation of privilege on Actuation to Brake link</t>
  </si>
  <si>
    <t xml:space="preserve">TS-103</t>
  </si>
  <si>
    <t xml:space="preserve">Injection of forged throttle commands</t>
  </si>
  <si>
    <t xml:space="preserve">Actuation Module → Throttle (AM Out → T In)</t>
  </si>
  <si>
    <t xml:space="preserve">TS-104</t>
  </si>
  <si>
    <t xml:space="preserve">Manipulation of throttle commands in transit</t>
  </si>
  <si>
    <t xml:space="preserve">TS-105</t>
  </si>
  <si>
    <t xml:space="preserve">Repudiation on Actuation to Throttle link</t>
  </si>
  <si>
    <t xml:space="preserve">TS-106</t>
  </si>
  <si>
    <t xml:space="preserve">Eavesdropping on throttle commands</t>
  </si>
  <si>
    <t xml:space="preserve">TS-107</t>
  </si>
  <si>
    <t xml:space="preserve">Disruption of Actuation to Throttle link</t>
  </si>
  <si>
    <t xml:space="preserve">TS-108</t>
  </si>
  <si>
    <t xml:space="preserve">Elevation of privilege on Actuation to Throttle link</t>
  </si>
  <si>
    <t xml:space="preserve">TS-109</t>
  </si>
  <si>
    <t xml:space="preserve">Injection of forged AEB trigger or disable commands</t>
  </si>
  <si>
    <t xml:space="preserve">Actuation Module → AEB (AM Out → AEB In)</t>
  </si>
  <si>
    <t xml:space="preserve">TS-110</t>
  </si>
  <si>
    <t xml:space="preserve">Manipulation of AEB commands in transit</t>
  </si>
  <si>
    <t xml:space="preserve">TS-111</t>
  </si>
  <si>
    <t xml:space="preserve">Repudiation on Actuation to AEB link</t>
  </si>
  <si>
    <t xml:space="preserve">TS-112</t>
  </si>
  <si>
    <t xml:space="preserve">Eavesdropping on AEB commands</t>
  </si>
  <si>
    <t xml:space="preserve">TS-113</t>
  </si>
  <si>
    <t xml:space="preserve">Disruption of Actuation to AEB link</t>
  </si>
  <si>
    <t xml:space="preserve">TS-114</t>
  </si>
  <si>
    <t xml:space="preserve">Elevation of privilege on Actuation to AEB link</t>
  </si>
  <si>
    <t xml:space="preserve">Cybersecurity Property</t>
  </si>
  <si>
    <t xml:space="preserve">Threat Description</t>
  </si>
  <si>
    <t xml:space="preserve">Rationale</t>
  </si>
  <si>
    <t xml:space="preserve">Authenticity</t>
  </si>
  <si>
    <t xml:space="preserve">A compromised or rogue ECU impersonates the AI Controller Module and sends acceleration or deceleration requests to the Actuation Module, which accepts them because the sender is not authenticated.</t>
  </si>
  <si>
    <t xml:space="preserve">The Actuation Module relies on the identity of the AI controller; spoofed decisions directly affect longitudinal control (safety impact).</t>
  </si>
  <si>
    <t xml:space="preserve">Integrity</t>
  </si>
  <si>
    <t xml:space="preserve">The attacker modifies model weights, inserts a backdoor, poisons training or update data, or changes ACC parameters (set speed, time gap, acceleration limits) through a malicious update or diagnostic access, causing unsafe decisions.</t>
  </si>
  <si>
    <t xml:space="preserve">Integrity of the decision logic is the core of the ACC function; manipulation leads to unintended acceleration or missed braking.</t>
  </si>
  <si>
    <t xml:space="preserve">Non-repudiation</t>
  </si>
  <si>
    <t xml:space="preserve">Decisions of the AI Decision Engine and changes to its parameters or model are not logged in a protected way, so an unsafe decision or a malicious change cannot be traced or proven after an incident.</t>
  </si>
  <si>
    <t xml:space="preserve">Traceability of AI decisions is needed for incident analysis, liability and forensic evidence of attacks on an AI-based function.</t>
  </si>
  <si>
    <t xml:space="preserve">Confidentiality</t>
  </si>
  <si>
    <t xml:space="preserve">The attacker reads the model (weights, architecture) via debug interfaces or memory dumps, reconstructs it by repeated querying (model extraction or inversion), or accesses stored driving data.</t>
  </si>
  <si>
    <t xml:space="preserve">The model is valuable IP, an extracted model enables targeted adversarial examples, and stored data may reveal personal driving behavior.</t>
  </si>
  <si>
    <t xml:space="preserve">Availability</t>
  </si>
  <si>
    <t xml:space="preserve">Resource exhaustion (flooded inputs, crafted inputs that cause worst-case inference time, triggered crash or watchdog reset) prevents the AI controller from producing decisions in real time.</t>
  </si>
  <si>
    <t xml:space="preserve">Missing or late decisions degrade or disable ACC while the vehicle is moving.</t>
  </si>
  <si>
    <t xml:space="preserve">Authorization</t>
  </si>
  <si>
    <t xml:space="preserve">Exploitation of a software vulnerability, weak diagnostic authentication (e.g. UDS security access) or an open debug port gives privileged execution, allowing reprogramming or disabling of safety limits.</t>
  </si>
  <si>
    <t xml:space="preserve">Privileged access on the decision unit enables all other attacks on longitudinal control.</t>
  </si>
  <si>
    <t xml:space="preserve">An attacker node pretends to be the Perception Module and sends a fabricated object list (e.g. no lead vehicle, or a phantom obstacle) to the AI Controller Module.</t>
  </si>
  <si>
    <t xml:space="preserve">The AI controller trusts perception output; spoofing causes unintended acceleration or phantom braking.</t>
  </si>
  <si>
    <t xml:space="preserve">Manipulation of fusion algorithms, object filtering thresholds or sensor calibration data (range offset, mounting angles) so that distance and relative speed of the lead vehicle are computed wrongly.</t>
  </si>
  <si>
    <t xml:space="preserve">Wrong distance or relative speed estimates directly lead to an unsafe following distance.</t>
  </si>
  <si>
    <t xml:space="preserve">The Perception Module denies having produced a specific object list.</t>
  </si>
  <si>
    <t xml:space="preserve">The Perception Module performs no accountable actions of its own; decision traceability is covered by TS-003.</t>
  </si>
  <si>
    <t xml:space="preserve">The attacker reads fused environment data including camera images and V2X position data, revealing persons, license plates and vehicle location, or the fusion algorithm IP.</t>
  </si>
  <si>
    <t xml:space="preserve">The data contains personal and location data, so confidentiality is relevant (privacy impact).</t>
  </si>
  <si>
    <t xml:space="preserve">Overloading the module with input (e.g. flooded point clouds or V2X messages) or triggering a crash so that no environment model is delivered in time.</t>
  </si>
  <si>
    <t xml:space="preserve">Without perception output ACC cannot keep a safe distance.</t>
  </si>
  <si>
    <t xml:space="preserve">Exploiting a parser vulnerability (e.g. in V2X message or sensor frame handling) to execute code with elevated privileges and pivot to the AI Controller Module.</t>
  </si>
  <si>
    <t xml:space="preserve">The module processes externally influenced data (OBU, sensors), which makes it a likely entry point for code execution.</t>
  </si>
  <si>
    <t xml:space="preserve">A rogue node pretends to be the Actuation Module and sends brake, throttle or AEB commands directly to the actuators.</t>
  </si>
  <si>
    <t xml:space="preserve">Actuators accept commands based on the sender identity; spoofed commands cause unintended braking or acceleration.</t>
  </si>
  <si>
    <t xml:space="preserve">Modification of the control software or its calibration tables (torque or brake pressure mapping, rate limits) so that correct AI decisions are translated into wrong actuator commands.</t>
  </si>
  <si>
    <t xml:space="preserve">Direct safety impact on the longitudinal motion of the vehicle.</t>
  </si>
  <si>
    <t xml:space="preserve">The Actuation Module denies having sent a specific command.</t>
  </si>
  <si>
    <t xml:space="preserve">The module executes decisions of the AI Controller Module without decision authority of its own; traceability is covered by TS-003.</t>
  </si>
  <si>
    <t xml:space="preserve">The attacker reads the brake and throttle commands processed by the module.</t>
  </si>
  <si>
    <t xml:space="preserve">Actuation commands have low confidentiality value and contain no personal data.</t>
  </si>
  <si>
    <t xml:space="preserve">Crash, bus-off or overload of the Actuation Module so that commands are not forwarded to brake, throttle or AEB.</t>
  </si>
  <si>
    <t xml:space="preserve">Loss of actuation means ACC decisions, including braking, are not applied.</t>
  </si>
  <si>
    <t xml:space="preserve">An exploit or unauthenticated diagnostic access gives privileged control, allowing direct actuator commands that bypass the limits set by the AI controller.</t>
  </si>
  <si>
    <t xml:space="preserve">Privileged access here gives direct control over brake and throttle.</t>
  </si>
  <si>
    <t xml:space="preserve">Physical-channel attack: adversarial patches, stickers, projected images or screens make the camera and its AI-based detection see phantom vehicles or miss the real lead vehicle.</t>
  </si>
  <si>
    <t xml:space="preserve">A well-known attack on AI-based vision; causes phantom braking or missed braking.</t>
  </si>
  <si>
    <t xml:space="preserve">Lens obstruction, sensor misalignment, or malicious camera firmware that alters the image stream.</t>
  </si>
  <si>
    <t xml:space="preserve">Modified images corrupt the perception input; firmware tampering is possible via service access.</t>
  </si>
  <si>
    <t xml:space="preserve">The Camera denies having produced a frame.</t>
  </si>
  <si>
    <t xml:space="preserve">Sensor performs no accountable actions of its own; repudiation is not applicable.</t>
  </si>
  <si>
    <t xml:space="preserve">Access to camera images reveals persons, license plates and locations.</t>
  </si>
  <si>
    <t xml:space="preserve">Images contain personal data (privacy impact).</t>
  </si>
  <si>
    <t xml:space="preserve">Strong light or laser dazzling saturates the image sensor so that no usable frames are produced.</t>
  </si>
  <si>
    <t xml:space="preserve">Loss of camera input degrades the object detection needed by ACC.</t>
  </si>
  <si>
    <t xml:space="preserve">The attacker gains higher privileges inside the camera.</t>
  </si>
  <si>
    <t xml:space="preserve">The sensor has no privilege or access-control model in this architecture; firmware compromise is covered by TS-020.</t>
  </si>
  <si>
    <t xml:space="preserve">The attacker transmits crafted radar signals that create ghost targets or shift the measured distance and relative speed of the lead vehicle.</t>
  </si>
  <si>
    <t xml:space="preserve">Directly corrupts the distance measurement, the primary ACC input.</t>
  </si>
  <si>
    <t xml:space="preserve">Radar misalignment, radome manipulation, or malicious firmware that changes the range or velocity output.</t>
  </si>
  <si>
    <t xml:space="preserve">Integrity of range and velocity data is safety relevant.</t>
  </si>
  <si>
    <t xml:space="preserve">The Radar denies having produced a detection.</t>
  </si>
  <si>
    <t xml:space="preserve">The attacker reads the radar detections.</t>
  </si>
  <si>
    <t xml:space="preserve">Radar detections contain no personal data and have low confidentiality value.</t>
  </si>
  <si>
    <t xml:space="preserve">Broadband or targeted RF jamming raises the noise floor so that targets are not detected.</t>
  </si>
  <si>
    <t xml:space="preserve">Loss of radar degrades or disables distance keeping.</t>
  </si>
  <si>
    <t xml:space="preserve">The attacker gains higher privileges inside the radar.</t>
  </si>
  <si>
    <t xml:space="preserve">The sensor has no privilege or access-control model in this architecture; firmware compromise is covered by TS-026.</t>
  </si>
  <si>
    <t xml:space="preserve">The attacker fires timed laser pulses to inject fake points (phantom obstacles) or to remove real objects from the point cloud.</t>
  </si>
  <si>
    <t xml:space="preserve">A demonstrated attack class; causes phantom or missed braking.</t>
  </si>
  <si>
    <t xml:space="preserve">Obstruction, misalignment, or malicious firmware that changes the point cloud output.</t>
  </si>
  <si>
    <t xml:space="preserve">Corrupted point clouds lead to wrong object distances.</t>
  </si>
  <si>
    <t xml:space="preserve">The LIDAR denies having produced a point cloud.</t>
  </si>
  <si>
    <t xml:space="preserve">The attacker reads the LIDAR point clouds.</t>
  </si>
  <si>
    <t xml:space="preserve">Point clouds contain no identifying personal data and have low confidentiality value.</t>
  </si>
  <si>
    <t xml:space="preserve">High-intensity light saturates the receiver so that no valid returns are measured.</t>
  </si>
  <si>
    <t xml:space="preserve">Loss of LIDAR input degrades object detection and distance estimation.</t>
  </si>
  <si>
    <t xml:space="preserve">The attacker gains higher privileges inside the LIDAR.</t>
  </si>
  <si>
    <t xml:space="preserve">The sensor has no privilege or access-control model in this architecture; firmware compromise is covered by TS-032.</t>
  </si>
  <si>
    <t xml:space="preserve">An attacker, possibly using several fake identities (Sybil attack), sends fake V2X messages, e.g. a fake emergency braking warning or a false position of a preceding vehicle, which the OBU accepts.</t>
  </si>
  <si>
    <t xml:space="preserve">The OBU is the only wireless external interface; spoofed messages flow directly into perception.</t>
  </si>
  <si>
    <t xml:space="preserve">Modification of OBU firmware or stored certificates, or of messages in transit (man-in-the-middle, replay).</t>
  </si>
  <si>
    <t xml:space="preserve">A compromised OBU delivers manipulated data to the Perception Module.</t>
  </si>
  <si>
    <t xml:space="preserve">A sender (vehicle or roadside unit) denies having sent a message, or the OBU cannot prove what it received, because messages or logs are not signed.</t>
  </si>
  <si>
    <t xml:space="preserve">V2X is multi-party communication; non-repudiation is needed for misbehavior detection and incident analysis.</t>
  </si>
  <si>
    <t xml:space="preserve">Eavesdropping or extraction reveals the vehicle location and trajectory (tracking) as well as private keys or pseudonym certificates.</t>
  </si>
  <si>
    <t xml:space="preserve">Privacy impact through tracking, and disclosed keys enable later spoofing.</t>
  </si>
  <si>
    <t xml:space="preserve">RF jamming, or flooding with messages that overload signature verification, blocks the reception of legitimate V2X data.</t>
  </si>
  <si>
    <t xml:space="preserve">Loss of cooperative data degrades ACC; overload may propagate to the Perception Module.</t>
  </si>
  <si>
    <t xml:space="preserve">Exploiting the wireless stack or the message parser gives code execution on the OBU and a path into the in-vehicle network.</t>
  </si>
  <si>
    <t xml:space="preserve">The OBU is the main remote entry point into the vehicle and the start of most remote attack paths.</t>
  </si>
  <si>
    <t xml:space="preserve">The attacker pretends to be the Brake actuator.</t>
  </si>
  <si>
    <t xml:space="preserve">The Brake only receives commands (no outgoing interface in the model), so no element relies on its identity; command spoofing is covered by TS-097.</t>
  </si>
  <si>
    <t xml:space="preserve">Physical or firmware manipulation of the brake actuator so that commands are ignored, weakened or amplified.</t>
  </si>
  <si>
    <t xml:space="preserve">Directly affects the ability of the vehicle to decelerate (severe safety impact).</t>
  </si>
  <si>
    <t xml:space="preserve">The Brake denies having executed a command.</t>
  </si>
  <si>
    <t xml:space="preserve">Actuator only executes received commands and performs no accountable actions; repudiation is not applicable.</t>
  </si>
  <si>
    <t xml:space="preserve">The attacker reads data handled by the brake actuator.</t>
  </si>
  <si>
    <t xml:space="preserve">The actuator handles no confidential or personal data.</t>
  </si>
  <si>
    <t xml:space="preserve">The actuator is disabled or blocked so that brake requests from ACC are not executed.</t>
  </si>
  <si>
    <t xml:space="preserve">Loss of braking in ACC is safety critical.</t>
  </si>
  <si>
    <t xml:space="preserve">The attacker gains higher privileges inside the actuator.</t>
  </si>
  <si>
    <t xml:space="preserve">The actuator has no privilege model in this architecture; firmware manipulation is covered by TS-044.</t>
  </si>
  <si>
    <t xml:space="preserve">The attacker pretends to be the Throttle actuator.</t>
  </si>
  <si>
    <t xml:space="preserve">The Throttle only receives commands (no outgoing interface in the model), so no element relies on its identity; command spoofing is covered by TS-103.</t>
  </si>
  <si>
    <t xml:space="preserve">Physical or firmware manipulation causing unintended acceleration or ignoring throttle-close commands.</t>
  </si>
  <si>
    <t xml:space="preserve">Unintended acceleration is safety critical.</t>
  </si>
  <si>
    <t xml:space="preserve">The Throttle denies having executed a command.</t>
  </si>
  <si>
    <t xml:space="preserve">The attacker reads data handled by the throttle actuator.</t>
  </si>
  <si>
    <t xml:space="preserve">The throttle stops responding to commands and stays in its current position.</t>
  </si>
  <si>
    <t xml:space="preserve">A throttle stuck open is safety critical; stuck closed has operational impact.</t>
  </si>
  <si>
    <t xml:space="preserve">The actuator has no privilege model in this architecture; firmware manipulation is covered by TS-050.</t>
  </si>
  <si>
    <t xml:space="preserve">The attacker pretends to be the AEB unit.</t>
  </si>
  <si>
    <t xml:space="preserve">The AEB only receives commands in this model (no outgoing interface), so no element relies on its identity; command spoofing is covered by TS-109.</t>
  </si>
  <si>
    <t xml:space="preserve">Manipulation that disables AEB or triggers false emergency braking.</t>
  </si>
  <si>
    <t xml:space="preserve">AEB is the safety fallback of the longitudinal control chain; false activation creates a rear-end collision risk.</t>
  </si>
  <si>
    <t xml:space="preserve">The AEB denies having executed an emergency braking command.</t>
  </si>
  <si>
    <t xml:space="preserve">The attacker reads data handled by the AEB unit.</t>
  </si>
  <si>
    <t xml:space="preserve">The AEB handles no confidential or personal data in this model.</t>
  </si>
  <si>
    <t xml:space="preserve">AEB is made unavailable so that no emergency braking happens when ACC fails.</t>
  </si>
  <si>
    <t xml:space="preserve">Loss of the safety fallback.</t>
  </si>
  <si>
    <t xml:space="preserve">The attacker gains higher privileges inside the AEB unit.</t>
  </si>
  <si>
    <t xml:space="preserve">No privilege model for the AEB in this architecture; manipulation is covered by TS-056.</t>
  </si>
  <si>
    <t xml:space="preserve">An attacker with access to the camera link (e.g. automotive Ethernet or serial link) injects frames that appear to come from the Camera.</t>
  </si>
  <si>
    <t xml:space="preserve">The link is not authenticated by default; injected frames are processed as genuine.</t>
  </si>
  <si>
    <t xml:space="preserve">A man-in-the-middle modifies or replays frames (inserting or removing objects) between Camera and Perception Module.</t>
  </si>
  <si>
    <t xml:space="preserve">Manipulated frames corrupt object detection.</t>
  </si>
  <si>
    <t xml:space="preserve">Denial of having sent or received data on the link.</t>
  </si>
  <si>
    <t xml:space="preserve">A data flow performs no actions; repudiation applies to entities, not to communication links.</t>
  </si>
  <si>
    <t xml:space="preserve">Tapping the link exposes images containing personal data.</t>
  </si>
  <si>
    <t xml:space="preserve">Cable cut, link flooding or link-layer interference stops frame delivery.</t>
  </si>
  <si>
    <t xml:space="preserve">Loss of camera input degrades perception.</t>
  </si>
  <si>
    <t xml:space="preserve">Privilege escalation through the link.</t>
  </si>
  <si>
    <t xml:space="preserve">A data flow does not execute code or hold privileges; elevation of privilege is not applicable.</t>
  </si>
  <si>
    <t xml:space="preserve">Messages that appear to come from the Radar are injected on the in-vehicle bus.</t>
  </si>
  <si>
    <t xml:space="preserve">Unauthenticated sensor messages are accepted as genuine distance data.</t>
  </si>
  <si>
    <t xml:space="preserve">Radar detections (distance, relative speed) are modified or replayed on the link.</t>
  </si>
  <si>
    <t xml:space="preserve">Directly corrupts the primary ACC input.</t>
  </si>
  <si>
    <t xml:space="preserve">Tapping the link exposes radar detections.</t>
  </si>
  <si>
    <t xml:space="preserve">Bus flooding, bus-off attack or cable cut stops delivery of radar data.</t>
  </si>
  <si>
    <t xml:space="preserve">Loss of radar data degrades or disables distance keeping.</t>
  </si>
  <si>
    <t xml:space="preserve">Point cloud packets that appear to come from the LIDAR are injected on the link.</t>
  </si>
  <si>
    <t xml:space="preserve">Unauthenticated data is accepted as genuine sensor input.</t>
  </si>
  <si>
    <t xml:space="preserve">Point cloud data is modified or replayed on the link (adding or removing objects).</t>
  </si>
  <si>
    <t xml:space="preserve">Tapping the link exposes point clouds.</t>
  </si>
  <si>
    <t xml:space="preserve">Link flooding or cable cut stops delivery of point clouds.</t>
  </si>
  <si>
    <t xml:space="preserve">Loss of LIDAR data degrades perception.</t>
  </si>
  <si>
    <t xml:space="preserve">Messages that appear to come from the OBU are injected on the in-vehicle link, bypassing the V2X signature checks done in the OBU.</t>
  </si>
  <si>
    <t xml:space="preserve">The internal link is often not authenticated even when V2X messages are signed over the air.</t>
  </si>
  <si>
    <t xml:space="preserve">V2X-derived data (positions, speeds, warnings) is modified or replayed on the internal link.</t>
  </si>
  <si>
    <t xml:space="preserve">Manipulated cooperative data leads to wrong ACC reactions.</t>
  </si>
  <si>
    <t xml:space="preserve">Tapping the link exposes own vehicle position and received data about surrounding vehicles.</t>
  </si>
  <si>
    <t xml:space="preserve">Location and trajectory data is privacy relevant.</t>
  </si>
  <si>
    <t xml:space="preserve">Link flooding or cable cut stops delivery of V2X data.</t>
  </si>
  <si>
    <t xml:space="preserve">Loss of cooperative data degrades ACC.</t>
  </si>
  <si>
    <t xml:space="preserve">Object lists that appear to come from the Perception Module are injected on the link to the AI Controller Module.</t>
  </si>
  <si>
    <t xml:space="preserve">The AI controller trusts incoming environment data; fake lead vehicles or removed obstacles cause unsafe decisions.</t>
  </si>
  <si>
    <t xml:space="preserve">Distance or relative speed of the lead vehicle is altered, or objects are added or removed, on the link.</t>
  </si>
  <si>
    <t xml:space="preserve">Directly corrupts the input of the AI decision engine.</t>
  </si>
  <si>
    <t xml:space="preserve">Tapping the link exposes the fused object list.</t>
  </si>
  <si>
    <t xml:space="preserve">The object list is derived from the public road environment and contains no personal data.</t>
  </si>
  <si>
    <t xml:space="preserve">Bus flooding, bus-off attack or cable cut stops delivery of the environment model.</t>
  </si>
  <si>
    <t xml:space="preserve">Without environment data the AI controller cannot make decisions.</t>
  </si>
  <si>
    <t xml:space="preserve">Messages that appear to come from the AI Controller Module are injected (e.g. CAN injection without SecOC) on the link to the Actuation Module.</t>
  </si>
  <si>
    <t xml:space="preserve">Forged requests are executed as genuine AI decisions (unintended acceleration or braking).</t>
  </si>
  <si>
    <t xml:space="preserve">Acceleration or deceleration requests are modified or replayed on the link.</t>
  </si>
  <si>
    <t xml:space="preserve">Directly changes the longitudinal behavior of the vehicle.</t>
  </si>
  <si>
    <t xml:space="preserve">Tapping the link exposes the control requests.</t>
  </si>
  <si>
    <t xml:space="preserve">Control requests have low confidentiality value and contain no personal data.</t>
  </si>
  <si>
    <t xml:space="preserve">Bus flooding, bus-off attack or cable cut stops delivery of AI decisions.</t>
  </si>
  <si>
    <t xml:space="preserve">Decisions, including braking requests, are not applied.</t>
  </si>
  <si>
    <t xml:space="preserve">Brake commands that appear to come from the Actuation Module are injected on the link.</t>
  </si>
  <si>
    <t xml:space="preserve">Forged commands cause unintended or suppressed braking.</t>
  </si>
  <si>
    <t xml:space="preserve">Brake pressure or deceleration commands are modified or replayed on the link.</t>
  </si>
  <si>
    <t xml:space="preserve">Directly affects deceleration (severe safety impact).</t>
  </si>
  <si>
    <t xml:space="preserve">Tapping the link exposes brake commands.</t>
  </si>
  <si>
    <t xml:space="preserve">Brake commands have low confidentiality value.</t>
  </si>
  <si>
    <t xml:space="preserve">Bus flooding, bus-off attack or cable cut stops delivery of brake commands.</t>
  </si>
  <si>
    <t xml:space="preserve">Brake requests are not executed (safety critical).</t>
  </si>
  <si>
    <t xml:space="preserve">Throttle commands that appear to come from the Actuation Module are injected on the link.</t>
  </si>
  <si>
    <t xml:space="preserve">Forged commands cause unintended acceleration.</t>
  </si>
  <si>
    <t xml:space="preserve">Throttle position or torque requests are modified or replayed on the link.</t>
  </si>
  <si>
    <t xml:space="preserve">Tapping the link exposes throttle commands.</t>
  </si>
  <si>
    <t xml:space="preserve">Throttle commands have low confidentiality value.</t>
  </si>
  <si>
    <t xml:space="preserve">Bus flooding, bus-off attack or cable cut stops delivery of throttle commands.</t>
  </si>
  <si>
    <t xml:space="preserve">Throttle requests, including throttle-close requests, are not executed.</t>
  </si>
  <si>
    <t xml:space="preserve">Commands that appear to come from the Actuation Module are injected on the link to falsely trigger or suppress emergency braking.</t>
  </si>
  <si>
    <t xml:space="preserve">False activation creates rear-end collision risk; suppression removes the safety fallback.</t>
  </si>
  <si>
    <t xml:space="preserve">AEB requests are modified or replayed on the link.</t>
  </si>
  <si>
    <t xml:space="preserve">Manipulated requests disable or falsely trigger emergency braking.</t>
  </si>
  <si>
    <t xml:space="preserve">Tapping the link exposes AEB commands.</t>
  </si>
  <si>
    <t xml:space="preserve">AEB commands have low confidentiality value.</t>
  </si>
  <si>
    <t xml:space="preserve">Bus flooding, bus-off attack or cable cut stops delivery of AEB commands.</t>
  </si>
  <si>
    <t xml:space="preserve">Asset</t>
  </si>
  <si>
    <t xml:space="preserve">Element Type (medini)</t>
  </si>
  <si>
    <t xml:space="preserve">Architecture Level</t>
  </si>
  <si>
    <t xml:space="preserve">Threat Scenarios</t>
  </si>
  <si>
    <t xml:space="preserve">To Be Assessed = TRUE</t>
  </si>
  <si>
    <t xml:space="preserve">To Be Assessed = FALSE</t>
  </si>
  <si>
    <t xml:space="preserve">Software Unit</t>
  </si>
  <si>
    <t xml:space="preserve">Upper level (Data Acquisition &amp; Preprocessing + AI Decision Engine)</t>
  </si>
  <si>
    <t xml:space="preserve">Component</t>
  </si>
  <si>
    <t xml:space="preserve">Lower level</t>
  </si>
  <si>
    <t xml:space="preserve">Sensor</t>
  </si>
  <si>
    <t xml:space="preserve">Lower level (Perception)</t>
  </si>
  <si>
    <t xml:space="preserve">Hardware Part</t>
  </si>
  <si>
    <t xml:space="preserve">Actuator</t>
  </si>
  <si>
    <t xml:space="preserve">Lower level (Actuation)</t>
  </si>
  <si>
    <t xml:space="preserve">Interface (data flow)</t>
  </si>
  <si>
    <t xml:space="preserve">Lower to upper level</t>
  </si>
  <si>
    <t xml:space="preserve">Upper to lower level</t>
  </si>
  <si>
    <t xml:space="preserve">Total</t>
  </si>
  <si>
    <t xml:space="preserve">STRIDE Category</t>
  </si>
  <si>
    <t xml:space="preserve">Method notes</t>
  </si>
  <si>
    <t xml:space="preserve">Threat scenarios generated by the AI engine by applying all six STRIDE categories to every asset of the medini architecture model.</t>
  </si>
  <si>
    <t xml:space="preserve">Assets: the 10 architecture elements (AI Controller Module, Perception Module, Actuation Module, Camera, Radar, LIDAR, OBU, Brake, Throttle, AEB) and the 9 port connections between them.</t>
  </si>
  <si>
    <t xml:space="preserve">STRIDE to property mapping (ISO/SAE 21434): Spoofing - Authenticity, Tampering - Integrity, Repudiation - Non-repudiation, Information Disclosure - Confidentiality, Denial of Service - Availability, Elevation of Privilege - Authorization.</t>
  </si>
  <si>
    <t xml:space="preserve">To Be Assessed = FALSE marks a threat judged not applicable or already covered by another scenario; the reason is in the Details sheet.</t>
  </si>
  <si>
    <t xml:space="preserve">The Continuous Vehicle Dynamics Monitoring Module from the general architecture is not part of the medini model and is not included.</t>
  </si>
  <si>
    <t xml:space="preserve">Source of the architecture: user-provided diagrams (general architecture and medini architecture).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</si>
</sst>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2F2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48"/>
    <col collapsed="false" customWidth="true" hidden="false" outlineLevel="0" max="4" min="4" style="0" width="15"/>
    <col collapsed="false" customWidth="true" hidden="false" outlineLevel="0" max="5" min="5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3" t="s">
        <v>7</v>
      </c>
      <c r="D2" s="4" t="b">
        <f aca="false">TRUE()</f>
        <v>1</v>
      </c>
      <c r="E2" s="3" t="s">
        <v>8</v>
      </c>
    </row>
    <row r="3" customFormat="false" ht="15" hidden="false" customHeight="false" outlineLevel="0" collapsed="false">
      <c r="A3" s="2" t="s">
        <v>9</v>
      </c>
      <c r="B3" s="3" t="s">
        <v>10</v>
      </c>
      <c r="C3" s="3" t="s">
        <v>7</v>
      </c>
      <c r="D3" s="4" t="b">
        <f aca="false">TRUE()</f>
        <v>1</v>
      </c>
      <c r="E3" s="3" t="s">
        <v>11</v>
      </c>
    </row>
    <row r="4" customFormat="false" ht="15" hidden="false" customHeight="false" outlineLevel="0" collapsed="false">
      <c r="A4" s="2" t="s">
        <v>12</v>
      </c>
      <c r="B4" s="3" t="s">
        <v>13</v>
      </c>
      <c r="C4" s="3" t="s">
        <v>7</v>
      </c>
      <c r="D4" s="4" t="b">
        <f aca="false">TRUE()</f>
        <v>1</v>
      </c>
      <c r="E4" s="3" t="s">
        <v>14</v>
      </c>
    </row>
    <row r="5" customFormat="false" ht="23.85" hidden="false" customHeight="false" outlineLevel="0" collapsed="false">
      <c r="A5" s="2" t="s">
        <v>15</v>
      </c>
      <c r="B5" s="3" t="s">
        <v>16</v>
      </c>
      <c r="C5" s="3" t="s">
        <v>7</v>
      </c>
      <c r="D5" s="4" t="b">
        <f aca="false">TRUE()</f>
        <v>1</v>
      </c>
      <c r="E5" s="3" t="s">
        <v>17</v>
      </c>
    </row>
    <row r="6" customFormat="false" ht="15" hidden="false" customHeight="false" outlineLevel="0" collapsed="false">
      <c r="A6" s="2" t="s">
        <v>18</v>
      </c>
      <c r="B6" s="3" t="s">
        <v>19</v>
      </c>
      <c r="C6" s="3" t="s">
        <v>7</v>
      </c>
      <c r="D6" s="4" t="b">
        <f aca="false">TRUE()</f>
        <v>1</v>
      </c>
      <c r="E6" s="3" t="s">
        <v>20</v>
      </c>
    </row>
    <row r="7" customFormat="false" ht="15" hidden="false" customHeight="false" outlineLevel="0" collapsed="false">
      <c r="A7" s="2" t="s">
        <v>21</v>
      </c>
      <c r="B7" s="3" t="s">
        <v>22</v>
      </c>
      <c r="C7" s="3" t="s">
        <v>7</v>
      </c>
      <c r="D7" s="4" t="b">
        <f aca="false">TRUE()</f>
        <v>1</v>
      </c>
      <c r="E7" s="3" t="s">
        <v>23</v>
      </c>
    </row>
    <row r="8" customFormat="false" ht="15" hidden="false" customHeight="false" outlineLevel="0" collapsed="false">
      <c r="A8" s="2" t="s">
        <v>24</v>
      </c>
      <c r="B8" s="3" t="s">
        <v>25</v>
      </c>
      <c r="C8" s="3" t="s">
        <v>26</v>
      </c>
      <c r="D8" s="4" t="b">
        <f aca="false">TRUE()</f>
        <v>1</v>
      </c>
      <c r="E8" s="3" t="s">
        <v>8</v>
      </c>
    </row>
    <row r="9" customFormat="false" ht="15" hidden="false" customHeight="false" outlineLevel="0" collapsed="false">
      <c r="A9" s="2" t="s">
        <v>27</v>
      </c>
      <c r="B9" s="3" t="s">
        <v>28</v>
      </c>
      <c r="C9" s="3" t="s">
        <v>26</v>
      </c>
      <c r="D9" s="4" t="b">
        <f aca="false">TRUE()</f>
        <v>1</v>
      </c>
      <c r="E9" s="3" t="s">
        <v>11</v>
      </c>
    </row>
    <row r="10" customFormat="false" ht="15" hidden="false" customHeight="false" outlineLevel="0" collapsed="false">
      <c r="A10" s="2" t="s">
        <v>29</v>
      </c>
      <c r="B10" s="3" t="s">
        <v>30</v>
      </c>
      <c r="C10" s="3" t="s">
        <v>26</v>
      </c>
      <c r="D10" s="4" t="b">
        <f aca="false">FALSE()</f>
        <v>0</v>
      </c>
      <c r="E10" s="3" t="s">
        <v>14</v>
      </c>
    </row>
    <row r="11" customFormat="false" ht="15" hidden="false" customHeight="false" outlineLevel="0" collapsed="false">
      <c r="A11" s="2" t="s">
        <v>31</v>
      </c>
      <c r="B11" s="3" t="s">
        <v>32</v>
      </c>
      <c r="C11" s="3" t="s">
        <v>26</v>
      </c>
      <c r="D11" s="4" t="b">
        <f aca="false">TRUE()</f>
        <v>1</v>
      </c>
      <c r="E11" s="3" t="s">
        <v>17</v>
      </c>
    </row>
    <row r="12" customFormat="false" ht="15" hidden="false" customHeight="false" outlineLevel="0" collapsed="false">
      <c r="A12" s="2" t="s">
        <v>33</v>
      </c>
      <c r="B12" s="3" t="s">
        <v>34</v>
      </c>
      <c r="C12" s="3" t="s">
        <v>26</v>
      </c>
      <c r="D12" s="4" t="b">
        <f aca="false">TRUE()</f>
        <v>1</v>
      </c>
      <c r="E12" s="3" t="s">
        <v>20</v>
      </c>
    </row>
    <row r="13" customFormat="false" ht="15" hidden="false" customHeight="false" outlineLevel="0" collapsed="false">
      <c r="A13" s="2" t="s">
        <v>35</v>
      </c>
      <c r="B13" s="3" t="s">
        <v>36</v>
      </c>
      <c r="C13" s="3" t="s">
        <v>26</v>
      </c>
      <c r="D13" s="4" t="b">
        <f aca="false">TRUE()</f>
        <v>1</v>
      </c>
      <c r="E13" s="3" t="s">
        <v>23</v>
      </c>
    </row>
    <row r="14" customFormat="false" ht="15" hidden="false" customHeight="false" outlineLevel="0" collapsed="false">
      <c r="A14" s="2" t="s">
        <v>37</v>
      </c>
      <c r="B14" s="3" t="s">
        <v>38</v>
      </c>
      <c r="C14" s="3" t="s">
        <v>39</v>
      </c>
      <c r="D14" s="4" t="b">
        <f aca="false">TRUE()</f>
        <v>1</v>
      </c>
      <c r="E14" s="3" t="s">
        <v>8</v>
      </c>
    </row>
    <row r="15" customFormat="false" ht="15" hidden="false" customHeight="false" outlineLevel="0" collapsed="false">
      <c r="A15" s="2" t="s">
        <v>40</v>
      </c>
      <c r="B15" s="3" t="s">
        <v>41</v>
      </c>
      <c r="C15" s="3" t="s">
        <v>39</v>
      </c>
      <c r="D15" s="4" t="b">
        <f aca="false">TRUE()</f>
        <v>1</v>
      </c>
      <c r="E15" s="3" t="s">
        <v>11</v>
      </c>
    </row>
    <row r="16" customFormat="false" ht="15" hidden="false" customHeight="false" outlineLevel="0" collapsed="false">
      <c r="A16" s="2" t="s">
        <v>42</v>
      </c>
      <c r="B16" s="3" t="s">
        <v>43</v>
      </c>
      <c r="C16" s="3" t="s">
        <v>39</v>
      </c>
      <c r="D16" s="4" t="b">
        <f aca="false">FALSE()</f>
        <v>0</v>
      </c>
      <c r="E16" s="3" t="s">
        <v>14</v>
      </c>
    </row>
    <row r="17" customFormat="false" ht="15" hidden="false" customHeight="false" outlineLevel="0" collapsed="false">
      <c r="A17" s="2" t="s">
        <v>44</v>
      </c>
      <c r="B17" s="3" t="s">
        <v>45</v>
      </c>
      <c r="C17" s="3" t="s">
        <v>39</v>
      </c>
      <c r="D17" s="4" t="b">
        <f aca="false">FALSE()</f>
        <v>0</v>
      </c>
      <c r="E17" s="3" t="s">
        <v>17</v>
      </c>
    </row>
    <row r="18" customFormat="false" ht="15" hidden="false" customHeight="false" outlineLevel="0" collapsed="false">
      <c r="A18" s="2" t="s">
        <v>46</v>
      </c>
      <c r="B18" s="3" t="s">
        <v>47</v>
      </c>
      <c r="C18" s="3" t="s">
        <v>39</v>
      </c>
      <c r="D18" s="4" t="b">
        <f aca="false">TRUE()</f>
        <v>1</v>
      </c>
      <c r="E18" s="3" t="s">
        <v>20</v>
      </c>
    </row>
    <row r="19" customFormat="false" ht="15" hidden="false" customHeight="false" outlineLevel="0" collapsed="false">
      <c r="A19" s="2" t="s">
        <v>48</v>
      </c>
      <c r="B19" s="3" t="s">
        <v>49</v>
      </c>
      <c r="C19" s="3" t="s">
        <v>39</v>
      </c>
      <c r="D19" s="4" t="b">
        <f aca="false">TRUE()</f>
        <v>1</v>
      </c>
      <c r="E19" s="3" t="s">
        <v>23</v>
      </c>
    </row>
    <row r="20" customFormat="false" ht="15" hidden="false" customHeight="false" outlineLevel="0" collapsed="false">
      <c r="A20" s="2" t="s">
        <v>50</v>
      </c>
      <c r="B20" s="3" t="s">
        <v>51</v>
      </c>
      <c r="C20" s="3" t="s">
        <v>52</v>
      </c>
      <c r="D20" s="4" t="b">
        <f aca="false">TRUE()</f>
        <v>1</v>
      </c>
      <c r="E20" s="3" t="s">
        <v>8</v>
      </c>
    </row>
    <row r="21" customFormat="false" ht="15" hidden="false" customHeight="false" outlineLevel="0" collapsed="false">
      <c r="A21" s="2" t="s">
        <v>53</v>
      </c>
      <c r="B21" s="3" t="s">
        <v>54</v>
      </c>
      <c r="C21" s="3" t="s">
        <v>52</v>
      </c>
      <c r="D21" s="4" t="b">
        <f aca="false">TRUE()</f>
        <v>1</v>
      </c>
      <c r="E21" s="3" t="s">
        <v>11</v>
      </c>
    </row>
    <row r="22" customFormat="false" ht="15" hidden="false" customHeight="false" outlineLevel="0" collapsed="false">
      <c r="A22" s="2" t="s">
        <v>55</v>
      </c>
      <c r="B22" s="3" t="s">
        <v>56</v>
      </c>
      <c r="C22" s="3" t="s">
        <v>52</v>
      </c>
      <c r="D22" s="4" t="b">
        <f aca="false">FALSE()</f>
        <v>0</v>
      </c>
      <c r="E22" s="3" t="s">
        <v>14</v>
      </c>
    </row>
    <row r="23" customFormat="false" ht="15" hidden="false" customHeight="false" outlineLevel="0" collapsed="false">
      <c r="A23" s="2" t="s">
        <v>57</v>
      </c>
      <c r="B23" s="3" t="s">
        <v>58</v>
      </c>
      <c r="C23" s="3" t="s">
        <v>52</v>
      </c>
      <c r="D23" s="4" t="b">
        <f aca="false">TRUE()</f>
        <v>1</v>
      </c>
      <c r="E23" s="3" t="s">
        <v>17</v>
      </c>
    </row>
    <row r="24" customFormat="false" ht="15" hidden="false" customHeight="false" outlineLevel="0" collapsed="false">
      <c r="A24" s="2" t="s">
        <v>59</v>
      </c>
      <c r="B24" s="3" t="s">
        <v>60</v>
      </c>
      <c r="C24" s="3" t="s">
        <v>52</v>
      </c>
      <c r="D24" s="4" t="b">
        <f aca="false">TRUE()</f>
        <v>1</v>
      </c>
      <c r="E24" s="3" t="s">
        <v>20</v>
      </c>
    </row>
    <row r="25" customFormat="false" ht="15" hidden="false" customHeight="false" outlineLevel="0" collapsed="false">
      <c r="A25" s="2" t="s">
        <v>61</v>
      </c>
      <c r="B25" s="3" t="s">
        <v>62</v>
      </c>
      <c r="C25" s="3" t="s">
        <v>52</v>
      </c>
      <c r="D25" s="4" t="b">
        <f aca="false">FALSE()</f>
        <v>0</v>
      </c>
      <c r="E25" s="3" t="s">
        <v>23</v>
      </c>
    </row>
    <row r="26" customFormat="false" ht="15" hidden="false" customHeight="false" outlineLevel="0" collapsed="false">
      <c r="A26" s="2" t="s">
        <v>63</v>
      </c>
      <c r="B26" s="3" t="s">
        <v>64</v>
      </c>
      <c r="C26" s="3" t="s">
        <v>65</v>
      </c>
      <c r="D26" s="4" t="b">
        <f aca="false">TRUE()</f>
        <v>1</v>
      </c>
      <c r="E26" s="3" t="s">
        <v>8</v>
      </c>
    </row>
    <row r="27" customFormat="false" ht="15" hidden="false" customHeight="false" outlineLevel="0" collapsed="false">
      <c r="A27" s="2" t="s">
        <v>66</v>
      </c>
      <c r="B27" s="3" t="s">
        <v>67</v>
      </c>
      <c r="C27" s="3" t="s">
        <v>65</v>
      </c>
      <c r="D27" s="4" t="b">
        <f aca="false">TRUE()</f>
        <v>1</v>
      </c>
      <c r="E27" s="3" t="s">
        <v>11</v>
      </c>
    </row>
    <row r="28" customFormat="false" ht="15" hidden="false" customHeight="false" outlineLevel="0" collapsed="false">
      <c r="A28" s="2" t="s">
        <v>68</v>
      </c>
      <c r="B28" s="3" t="s">
        <v>69</v>
      </c>
      <c r="C28" s="3" t="s">
        <v>65</v>
      </c>
      <c r="D28" s="4" t="b">
        <f aca="false">FALSE()</f>
        <v>0</v>
      </c>
      <c r="E28" s="3" t="s">
        <v>14</v>
      </c>
    </row>
    <row r="29" customFormat="false" ht="15" hidden="false" customHeight="false" outlineLevel="0" collapsed="false">
      <c r="A29" s="2" t="s">
        <v>70</v>
      </c>
      <c r="B29" s="3" t="s">
        <v>71</v>
      </c>
      <c r="C29" s="3" t="s">
        <v>65</v>
      </c>
      <c r="D29" s="4" t="b">
        <f aca="false">FALSE()</f>
        <v>0</v>
      </c>
      <c r="E29" s="3" t="s">
        <v>17</v>
      </c>
    </row>
    <row r="30" customFormat="false" ht="15" hidden="false" customHeight="false" outlineLevel="0" collapsed="false">
      <c r="A30" s="2" t="s">
        <v>72</v>
      </c>
      <c r="B30" s="3" t="s">
        <v>73</v>
      </c>
      <c r="C30" s="3" t="s">
        <v>65</v>
      </c>
      <c r="D30" s="4" t="b">
        <f aca="false">TRUE()</f>
        <v>1</v>
      </c>
      <c r="E30" s="3" t="s">
        <v>20</v>
      </c>
    </row>
    <row r="31" customFormat="false" ht="15" hidden="false" customHeight="false" outlineLevel="0" collapsed="false">
      <c r="A31" s="2" t="s">
        <v>74</v>
      </c>
      <c r="B31" s="3" t="s">
        <v>75</v>
      </c>
      <c r="C31" s="3" t="s">
        <v>65</v>
      </c>
      <c r="D31" s="4" t="b">
        <f aca="false">FALSE()</f>
        <v>0</v>
      </c>
      <c r="E31" s="3" t="s">
        <v>23</v>
      </c>
    </row>
    <row r="32" customFormat="false" ht="15" hidden="false" customHeight="false" outlineLevel="0" collapsed="false">
      <c r="A32" s="2" t="s">
        <v>76</v>
      </c>
      <c r="B32" s="3" t="s">
        <v>77</v>
      </c>
      <c r="C32" s="3" t="s">
        <v>78</v>
      </c>
      <c r="D32" s="4" t="b">
        <f aca="false">TRUE()</f>
        <v>1</v>
      </c>
      <c r="E32" s="3" t="s">
        <v>8</v>
      </c>
    </row>
    <row r="33" customFormat="false" ht="15" hidden="false" customHeight="false" outlineLevel="0" collapsed="false">
      <c r="A33" s="2" t="s">
        <v>79</v>
      </c>
      <c r="B33" s="3" t="s">
        <v>80</v>
      </c>
      <c r="C33" s="3" t="s">
        <v>78</v>
      </c>
      <c r="D33" s="4" t="b">
        <f aca="false">TRUE()</f>
        <v>1</v>
      </c>
      <c r="E33" s="3" t="s">
        <v>11</v>
      </c>
    </row>
    <row r="34" customFormat="false" ht="15" hidden="false" customHeight="false" outlineLevel="0" collapsed="false">
      <c r="A34" s="2" t="s">
        <v>81</v>
      </c>
      <c r="B34" s="3" t="s">
        <v>82</v>
      </c>
      <c r="C34" s="3" t="s">
        <v>78</v>
      </c>
      <c r="D34" s="4" t="b">
        <f aca="false">FALSE()</f>
        <v>0</v>
      </c>
      <c r="E34" s="3" t="s">
        <v>14</v>
      </c>
    </row>
    <row r="35" customFormat="false" ht="15" hidden="false" customHeight="false" outlineLevel="0" collapsed="false">
      <c r="A35" s="2" t="s">
        <v>83</v>
      </c>
      <c r="B35" s="3" t="s">
        <v>84</v>
      </c>
      <c r="C35" s="3" t="s">
        <v>78</v>
      </c>
      <c r="D35" s="4" t="b">
        <f aca="false">FALSE()</f>
        <v>0</v>
      </c>
      <c r="E35" s="3" t="s">
        <v>17</v>
      </c>
    </row>
    <row r="36" customFormat="false" ht="15" hidden="false" customHeight="false" outlineLevel="0" collapsed="false">
      <c r="A36" s="2" t="s">
        <v>85</v>
      </c>
      <c r="B36" s="3" t="s">
        <v>86</v>
      </c>
      <c r="C36" s="3" t="s">
        <v>78</v>
      </c>
      <c r="D36" s="4" t="b">
        <f aca="false">TRUE()</f>
        <v>1</v>
      </c>
      <c r="E36" s="3" t="s">
        <v>20</v>
      </c>
    </row>
    <row r="37" customFormat="false" ht="15" hidden="false" customHeight="false" outlineLevel="0" collapsed="false">
      <c r="A37" s="2" t="s">
        <v>87</v>
      </c>
      <c r="B37" s="3" t="s">
        <v>88</v>
      </c>
      <c r="C37" s="3" t="s">
        <v>78</v>
      </c>
      <c r="D37" s="4" t="b">
        <f aca="false">FALSE()</f>
        <v>0</v>
      </c>
      <c r="E37" s="3" t="s">
        <v>23</v>
      </c>
    </row>
    <row r="38" customFormat="false" ht="15" hidden="false" customHeight="false" outlineLevel="0" collapsed="false">
      <c r="A38" s="2" t="s">
        <v>89</v>
      </c>
      <c r="B38" s="3" t="s">
        <v>90</v>
      </c>
      <c r="C38" s="3" t="s">
        <v>91</v>
      </c>
      <c r="D38" s="4" t="b">
        <f aca="false">TRUE()</f>
        <v>1</v>
      </c>
      <c r="E38" s="3" t="s">
        <v>8</v>
      </c>
    </row>
    <row r="39" customFormat="false" ht="15" hidden="false" customHeight="false" outlineLevel="0" collapsed="false">
      <c r="A39" s="2" t="s">
        <v>92</v>
      </c>
      <c r="B39" s="3" t="s">
        <v>93</v>
      </c>
      <c r="C39" s="3" t="s">
        <v>91</v>
      </c>
      <c r="D39" s="4" t="b">
        <f aca="false">TRUE()</f>
        <v>1</v>
      </c>
      <c r="E39" s="3" t="s">
        <v>11</v>
      </c>
    </row>
    <row r="40" customFormat="false" ht="15" hidden="false" customHeight="false" outlineLevel="0" collapsed="false">
      <c r="A40" s="2" t="s">
        <v>94</v>
      </c>
      <c r="B40" s="3" t="s">
        <v>95</v>
      </c>
      <c r="C40" s="3" t="s">
        <v>91</v>
      </c>
      <c r="D40" s="4" t="b">
        <f aca="false">TRUE()</f>
        <v>1</v>
      </c>
      <c r="E40" s="3" t="s">
        <v>14</v>
      </c>
    </row>
    <row r="41" customFormat="false" ht="15" hidden="false" customHeight="false" outlineLevel="0" collapsed="false">
      <c r="A41" s="2" t="s">
        <v>96</v>
      </c>
      <c r="B41" s="3" t="s">
        <v>97</v>
      </c>
      <c r="C41" s="3" t="s">
        <v>91</v>
      </c>
      <c r="D41" s="4" t="b">
        <f aca="false">TRUE()</f>
        <v>1</v>
      </c>
      <c r="E41" s="3" t="s">
        <v>17</v>
      </c>
    </row>
    <row r="42" customFormat="false" ht="15" hidden="false" customHeight="false" outlineLevel="0" collapsed="false">
      <c r="A42" s="2" t="s">
        <v>98</v>
      </c>
      <c r="B42" s="3" t="s">
        <v>99</v>
      </c>
      <c r="C42" s="3" t="s">
        <v>91</v>
      </c>
      <c r="D42" s="4" t="b">
        <f aca="false">TRUE()</f>
        <v>1</v>
      </c>
      <c r="E42" s="3" t="s">
        <v>20</v>
      </c>
    </row>
    <row r="43" customFormat="false" ht="15" hidden="false" customHeight="false" outlineLevel="0" collapsed="false">
      <c r="A43" s="2" t="s">
        <v>100</v>
      </c>
      <c r="B43" s="3" t="s">
        <v>101</v>
      </c>
      <c r="C43" s="3" t="s">
        <v>91</v>
      </c>
      <c r="D43" s="4" t="b">
        <f aca="false">TRUE()</f>
        <v>1</v>
      </c>
      <c r="E43" s="3" t="s">
        <v>23</v>
      </c>
    </row>
    <row r="44" customFormat="false" ht="15" hidden="false" customHeight="false" outlineLevel="0" collapsed="false">
      <c r="A44" s="2" t="s">
        <v>102</v>
      </c>
      <c r="B44" s="3" t="s">
        <v>103</v>
      </c>
      <c r="C44" s="3" t="s">
        <v>104</v>
      </c>
      <c r="D44" s="4" t="b">
        <f aca="false">FALSE()</f>
        <v>0</v>
      </c>
      <c r="E44" s="3" t="s">
        <v>8</v>
      </c>
    </row>
    <row r="45" customFormat="false" ht="15" hidden="false" customHeight="false" outlineLevel="0" collapsed="false">
      <c r="A45" s="2" t="s">
        <v>105</v>
      </c>
      <c r="B45" s="3" t="s">
        <v>106</v>
      </c>
      <c r="C45" s="3" t="s">
        <v>104</v>
      </c>
      <c r="D45" s="4" t="b">
        <f aca="false">TRUE()</f>
        <v>1</v>
      </c>
      <c r="E45" s="3" t="s">
        <v>11</v>
      </c>
    </row>
    <row r="46" customFormat="false" ht="15" hidden="false" customHeight="false" outlineLevel="0" collapsed="false">
      <c r="A46" s="2" t="s">
        <v>107</v>
      </c>
      <c r="B46" s="3" t="s">
        <v>108</v>
      </c>
      <c r="C46" s="3" t="s">
        <v>104</v>
      </c>
      <c r="D46" s="4" t="b">
        <f aca="false">FALSE()</f>
        <v>0</v>
      </c>
      <c r="E46" s="3" t="s">
        <v>14</v>
      </c>
    </row>
    <row r="47" customFormat="false" ht="15" hidden="false" customHeight="false" outlineLevel="0" collapsed="false">
      <c r="A47" s="2" t="s">
        <v>109</v>
      </c>
      <c r="B47" s="3" t="s">
        <v>110</v>
      </c>
      <c r="C47" s="3" t="s">
        <v>104</v>
      </c>
      <c r="D47" s="4" t="b">
        <f aca="false">FALSE()</f>
        <v>0</v>
      </c>
      <c r="E47" s="3" t="s">
        <v>17</v>
      </c>
    </row>
    <row r="48" customFormat="false" ht="15" hidden="false" customHeight="false" outlineLevel="0" collapsed="false">
      <c r="A48" s="2" t="s">
        <v>111</v>
      </c>
      <c r="B48" s="3" t="s">
        <v>112</v>
      </c>
      <c r="C48" s="3" t="s">
        <v>104</v>
      </c>
      <c r="D48" s="4" t="b">
        <f aca="false">TRUE()</f>
        <v>1</v>
      </c>
      <c r="E48" s="3" t="s">
        <v>20</v>
      </c>
    </row>
    <row r="49" customFormat="false" ht="15" hidden="false" customHeight="false" outlineLevel="0" collapsed="false">
      <c r="A49" s="2" t="s">
        <v>113</v>
      </c>
      <c r="B49" s="3" t="s">
        <v>114</v>
      </c>
      <c r="C49" s="3" t="s">
        <v>104</v>
      </c>
      <c r="D49" s="4" t="b">
        <f aca="false">FALSE()</f>
        <v>0</v>
      </c>
      <c r="E49" s="3" t="s">
        <v>23</v>
      </c>
    </row>
    <row r="50" customFormat="false" ht="15" hidden="false" customHeight="false" outlineLevel="0" collapsed="false">
      <c r="A50" s="2" t="s">
        <v>115</v>
      </c>
      <c r="B50" s="3" t="s">
        <v>116</v>
      </c>
      <c r="C50" s="3" t="s">
        <v>117</v>
      </c>
      <c r="D50" s="4" t="b">
        <f aca="false">FALSE()</f>
        <v>0</v>
      </c>
      <c r="E50" s="3" t="s">
        <v>8</v>
      </c>
    </row>
    <row r="51" customFormat="false" ht="15" hidden="false" customHeight="false" outlineLevel="0" collapsed="false">
      <c r="A51" s="2" t="s">
        <v>118</v>
      </c>
      <c r="B51" s="3" t="s">
        <v>119</v>
      </c>
      <c r="C51" s="3" t="s">
        <v>117</v>
      </c>
      <c r="D51" s="4" t="b">
        <f aca="false">TRUE()</f>
        <v>1</v>
      </c>
      <c r="E51" s="3" t="s">
        <v>11</v>
      </c>
    </row>
    <row r="52" customFormat="false" ht="15" hidden="false" customHeight="false" outlineLevel="0" collapsed="false">
      <c r="A52" s="2" t="s">
        <v>120</v>
      </c>
      <c r="B52" s="3" t="s">
        <v>121</v>
      </c>
      <c r="C52" s="3" t="s">
        <v>117</v>
      </c>
      <c r="D52" s="4" t="b">
        <f aca="false">FALSE()</f>
        <v>0</v>
      </c>
      <c r="E52" s="3" t="s">
        <v>14</v>
      </c>
    </row>
    <row r="53" customFormat="false" ht="15" hidden="false" customHeight="false" outlineLevel="0" collapsed="false">
      <c r="A53" s="2" t="s">
        <v>122</v>
      </c>
      <c r="B53" s="3" t="s">
        <v>123</v>
      </c>
      <c r="C53" s="3" t="s">
        <v>117</v>
      </c>
      <c r="D53" s="4" t="b">
        <f aca="false">FALSE()</f>
        <v>0</v>
      </c>
      <c r="E53" s="3" t="s">
        <v>17</v>
      </c>
    </row>
    <row r="54" customFormat="false" ht="15" hidden="false" customHeight="false" outlineLevel="0" collapsed="false">
      <c r="A54" s="2" t="s">
        <v>124</v>
      </c>
      <c r="B54" s="3" t="s">
        <v>125</v>
      </c>
      <c r="C54" s="3" t="s">
        <v>117</v>
      </c>
      <c r="D54" s="4" t="b">
        <f aca="false">TRUE()</f>
        <v>1</v>
      </c>
      <c r="E54" s="3" t="s">
        <v>20</v>
      </c>
    </row>
    <row r="55" customFormat="false" ht="15" hidden="false" customHeight="false" outlineLevel="0" collapsed="false">
      <c r="A55" s="2" t="s">
        <v>126</v>
      </c>
      <c r="B55" s="3" t="s">
        <v>127</v>
      </c>
      <c r="C55" s="3" t="s">
        <v>117</v>
      </c>
      <c r="D55" s="4" t="b">
        <f aca="false">FALSE()</f>
        <v>0</v>
      </c>
      <c r="E55" s="3" t="s">
        <v>23</v>
      </c>
    </row>
    <row r="56" customFormat="false" ht="15" hidden="false" customHeight="false" outlineLevel="0" collapsed="false">
      <c r="A56" s="2" t="s">
        <v>128</v>
      </c>
      <c r="B56" s="3" t="s">
        <v>129</v>
      </c>
      <c r="C56" s="3" t="s">
        <v>130</v>
      </c>
      <c r="D56" s="4" t="b">
        <f aca="false">FALSE()</f>
        <v>0</v>
      </c>
      <c r="E56" s="3" t="s">
        <v>8</v>
      </c>
    </row>
    <row r="57" customFormat="false" ht="15" hidden="false" customHeight="false" outlineLevel="0" collapsed="false">
      <c r="A57" s="2" t="s">
        <v>131</v>
      </c>
      <c r="B57" s="3" t="s">
        <v>132</v>
      </c>
      <c r="C57" s="3" t="s">
        <v>130</v>
      </c>
      <c r="D57" s="4" t="b">
        <f aca="false">TRUE()</f>
        <v>1</v>
      </c>
      <c r="E57" s="3" t="s">
        <v>11</v>
      </c>
    </row>
    <row r="58" customFormat="false" ht="15" hidden="false" customHeight="false" outlineLevel="0" collapsed="false">
      <c r="A58" s="2" t="s">
        <v>133</v>
      </c>
      <c r="B58" s="3" t="s">
        <v>134</v>
      </c>
      <c r="C58" s="3" t="s">
        <v>130</v>
      </c>
      <c r="D58" s="4" t="b">
        <f aca="false">FALSE()</f>
        <v>0</v>
      </c>
      <c r="E58" s="3" t="s">
        <v>14</v>
      </c>
    </row>
    <row r="59" customFormat="false" ht="15" hidden="false" customHeight="false" outlineLevel="0" collapsed="false">
      <c r="A59" s="2" t="s">
        <v>135</v>
      </c>
      <c r="B59" s="3" t="s">
        <v>136</v>
      </c>
      <c r="C59" s="3" t="s">
        <v>130</v>
      </c>
      <c r="D59" s="4" t="b">
        <f aca="false">FALSE()</f>
        <v>0</v>
      </c>
      <c r="E59" s="3" t="s">
        <v>17</v>
      </c>
    </row>
    <row r="60" customFormat="false" ht="15" hidden="false" customHeight="false" outlineLevel="0" collapsed="false">
      <c r="A60" s="2" t="s">
        <v>137</v>
      </c>
      <c r="B60" s="3" t="s">
        <v>138</v>
      </c>
      <c r="C60" s="3" t="s">
        <v>130</v>
      </c>
      <c r="D60" s="4" t="b">
        <f aca="false">TRUE()</f>
        <v>1</v>
      </c>
      <c r="E60" s="3" t="s">
        <v>20</v>
      </c>
    </row>
    <row r="61" customFormat="false" ht="15" hidden="false" customHeight="false" outlineLevel="0" collapsed="false">
      <c r="A61" s="2" t="s">
        <v>139</v>
      </c>
      <c r="B61" s="3" t="s">
        <v>140</v>
      </c>
      <c r="C61" s="3" t="s">
        <v>130</v>
      </c>
      <c r="D61" s="4" t="b">
        <f aca="false">FALSE()</f>
        <v>0</v>
      </c>
      <c r="E61" s="3" t="s">
        <v>23</v>
      </c>
    </row>
    <row r="62" customFormat="false" ht="15" hidden="false" customHeight="false" outlineLevel="0" collapsed="false">
      <c r="A62" s="2" t="s">
        <v>141</v>
      </c>
      <c r="B62" s="3" t="s">
        <v>142</v>
      </c>
      <c r="C62" s="3" t="s">
        <v>143</v>
      </c>
      <c r="D62" s="4" t="b">
        <f aca="false">TRUE()</f>
        <v>1</v>
      </c>
      <c r="E62" s="3" t="s">
        <v>8</v>
      </c>
    </row>
    <row r="63" customFormat="false" ht="15" hidden="false" customHeight="false" outlineLevel="0" collapsed="false">
      <c r="A63" s="2" t="s">
        <v>144</v>
      </c>
      <c r="B63" s="3" t="s">
        <v>145</v>
      </c>
      <c r="C63" s="3" t="s">
        <v>143</v>
      </c>
      <c r="D63" s="4" t="b">
        <f aca="false">TRUE()</f>
        <v>1</v>
      </c>
      <c r="E63" s="3" t="s">
        <v>11</v>
      </c>
    </row>
    <row r="64" customFormat="false" ht="15" hidden="false" customHeight="false" outlineLevel="0" collapsed="false">
      <c r="A64" s="2" t="s">
        <v>146</v>
      </c>
      <c r="B64" s="3" t="s">
        <v>147</v>
      </c>
      <c r="C64" s="3" t="s">
        <v>143</v>
      </c>
      <c r="D64" s="4" t="b">
        <f aca="false">FALSE()</f>
        <v>0</v>
      </c>
      <c r="E64" s="3" t="s">
        <v>14</v>
      </c>
    </row>
    <row r="65" customFormat="false" ht="15" hidden="false" customHeight="false" outlineLevel="0" collapsed="false">
      <c r="A65" s="2" t="s">
        <v>148</v>
      </c>
      <c r="B65" s="3" t="s">
        <v>149</v>
      </c>
      <c r="C65" s="3" t="s">
        <v>143</v>
      </c>
      <c r="D65" s="4" t="b">
        <f aca="false">TRUE()</f>
        <v>1</v>
      </c>
      <c r="E65" s="3" t="s">
        <v>17</v>
      </c>
    </row>
    <row r="66" customFormat="false" ht="15" hidden="false" customHeight="false" outlineLevel="0" collapsed="false">
      <c r="A66" s="2" t="s">
        <v>150</v>
      </c>
      <c r="B66" s="3" t="s">
        <v>151</v>
      </c>
      <c r="C66" s="3" t="s">
        <v>143</v>
      </c>
      <c r="D66" s="4" t="b">
        <f aca="false">TRUE()</f>
        <v>1</v>
      </c>
      <c r="E66" s="3" t="s">
        <v>20</v>
      </c>
    </row>
    <row r="67" customFormat="false" ht="15" hidden="false" customHeight="false" outlineLevel="0" collapsed="false">
      <c r="A67" s="2" t="s">
        <v>152</v>
      </c>
      <c r="B67" s="3" t="s">
        <v>153</v>
      </c>
      <c r="C67" s="3" t="s">
        <v>143</v>
      </c>
      <c r="D67" s="4" t="b">
        <f aca="false">FALSE()</f>
        <v>0</v>
      </c>
      <c r="E67" s="3" t="s">
        <v>23</v>
      </c>
    </row>
    <row r="68" customFormat="false" ht="15" hidden="false" customHeight="false" outlineLevel="0" collapsed="false">
      <c r="A68" s="2" t="s">
        <v>154</v>
      </c>
      <c r="B68" s="3" t="s">
        <v>155</v>
      </c>
      <c r="C68" s="3" t="s">
        <v>156</v>
      </c>
      <c r="D68" s="4" t="b">
        <f aca="false">TRUE()</f>
        <v>1</v>
      </c>
      <c r="E68" s="3" t="s">
        <v>8</v>
      </c>
    </row>
    <row r="69" customFormat="false" ht="15" hidden="false" customHeight="false" outlineLevel="0" collapsed="false">
      <c r="A69" s="2" t="s">
        <v>157</v>
      </c>
      <c r="B69" s="3" t="s">
        <v>158</v>
      </c>
      <c r="C69" s="3" t="s">
        <v>156</v>
      </c>
      <c r="D69" s="4" t="b">
        <f aca="false">TRUE()</f>
        <v>1</v>
      </c>
      <c r="E69" s="3" t="s">
        <v>11</v>
      </c>
    </row>
    <row r="70" customFormat="false" ht="15" hidden="false" customHeight="false" outlineLevel="0" collapsed="false">
      <c r="A70" s="2" t="s">
        <v>159</v>
      </c>
      <c r="B70" s="3" t="s">
        <v>160</v>
      </c>
      <c r="C70" s="3" t="s">
        <v>156</v>
      </c>
      <c r="D70" s="4" t="b">
        <f aca="false">FALSE()</f>
        <v>0</v>
      </c>
      <c r="E70" s="3" t="s">
        <v>14</v>
      </c>
    </row>
    <row r="71" customFormat="false" ht="15" hidden="false" customHeight="false" outlineLevel="0" collapsed="false">
      <c r="A71" s="2" t="s">
        <v>161</v>
      </c>
      <c r="B71" s="3" t="s">
        <v>162</v>
      </c>
      <c r="C71" s="3" t="s">
        <v>156</v>
      </c>
      <c r="D71" s="4" t="b">
        <f aca="false">FALSE()</f>
        <v>0</v>
      </c>
      <c r="E71" s="3" t="s">
        <v>17</v>
      </c>
    </row>
    <row r="72" customFormat="false" ht="15" hidden="false" customHeight="false" outlineLevel="0" collapsed="false">
      <c r="A72" s="2" t="s">
        <v>163</v>
      </c>
      <c r="B72" s="3" t="s">
        <v>164</v>
      </c>
      <c r="C72" s="3" t="s">
        <v>156</v>
      </c>
      <c r="D72" s="4" t="b">
        <f aca="false">TRUE()</f>
        <v>1</v>
      </c>
      <c r="E72" s="3" t="s">
        <v>20</v>
      </c>
    </row>
    <row r="73" customFormat="false" ht="15" hidden="false" customHeight="false" outlineLevel="0" collapsed="false">
      <c r="A73" s="2" t="s">
        <v>165</v>
      </c>
      <c r="B73" s="3" t="s">
        <v>166</v>
      </c>
      <c r="C73" s="3" t="s">
        <v>156</v>
      </c>
      <c r="D73" s="4" t="b">
        <f aca="false">FALSE()</f>
        <v>0</v>
      </c>
      <c r="E73" s="3" t="s">
        <v>23</v>
      </c>
    </row>
    <row r="74" customFormat="false" ht="15" hidden="false" customHeight="false" outlineLevel="0" collapsed="false">
      <c r="A74" s="2" t="s">
        <v>167</v>
      </c>
      <c r="B74" s="3" t="s">
        <v>168</v>
      </c>
      <c r="C74" s="3" t="s">
        <v>169</v>
      </c>
      <c r="D74" s="4" t="b">
        <f aca="false">TRUE()</f>
        <v>1</v>
      </c>
      <c r="E74" s="3" t="s">
        <v>8</v>
      </c>
    </row>
    <row r="75" customFormat="false" ht="15" hidden="false" customHeight="false" outlineLevel="0" collapsed="false">
      <c r="A75" s="2" t="s">
        <v>170</v>
      </c>
      <c r="B75" s="3" t="s">
        <v>171</v>
      </c>
      <c r="C75" s="3" t="s">
        <v>169</v>
      </c>
      <c r="D75" s="4" t="b">
        <f aca="false">TRUE()</f>
        <v>1</v>
      </c>
      <c r="E75" s="3" t="s">
        <v>11</v>
      </c>
    </row>
    <row r="76" customFormat="false" ht="15" hidden="false" customHeight="false" outlineLevel="0" collapsed="false">
      <c r="A76" s="2" t="s">
        <v>172</v>
      </c>
      <c r="B76" s="3" t="s">
        <v>173</v>
      </c>
      <c r="C76" s="3" t="s">
        <v>169</v>
      </c>
      <c r="D76" s="4" t="b">
        <f aca="false">FALSE()</f>
        <v>0</v>
      </c>
      <c r="E76" s="3" t="s">
        <v>14</v>
      </c>
    </row>
    <row r="77" customFormat="false" ht="15" hidden="false" customHeight="false" outlineLevel="0" collapsed="false">
      <c r="A77" s="2" t="s">
        <v>174</v>
      </c>
      <c r="B77" s="3" t="s">
        <v>175</v>
      </c>
      <c r="C77" s="3" t="s">
        <v>169</v>
      </c>
      <c r="D77" s="4" t="b">
        <f aca="false">FALSE()</f>
        <v>0</v>
      </c>
      <c r="E77" s="3" t="s">
        <v>17</v>
      </c>
    </row>
    <row r="78" customFormat="false" ht="15" hidden="false" customHeight="false" outlineLevel="0" collapsed="false">
      <c r="A78" s="2" t="s">
        <v>176</v>
      </c>
      <c r="B78" s="3" t="s">
        <v>177</v>
      </c>
      <c r="C78" s="3" t="s">
        <v>169</v>
      </c>
      <c r="D78" s="4" t="b">
        <f aca="false">TRUE()</f>
        <v>1</v>
      </c>
      <c r="E78" s="3" t="s">
        <v>20</v>
      </c>
    </row>
    <row r="79" customFormat="false" ht="15" hidden="false" customHeight="false" outlineLevel="0" collapsed="false">
      <c r="A79" s="2" t="s">
        <v>178</v>
      </c>
      <c r="B79" s="3" t="s">
        <v>179</v>
      </c>
      <c r="C79" s="3" t="s">
        <v>169</v>
      </c>
      <c r="D79" s="4" t="b">
        <f aca="false">FALSE()</f>
        <v>0</v>
      </c>
      <c r="E79" s="3" t="s">
        <v>23</v>
      </c>
    </row>
    <row r="80" customFormat="false" ht="15" hidden="false" customHeight="false" outlineLevel="0" collapsed="false">
      <c r="A80" s="2" t="s">
        <v>180</v>
      </c>
      <c r="B80" s="3" t="s">
        <v>181</v>
      </c>
      <c r="C80" s="3" t="s">
        <v>182</v>
      </c>
      <c r="D80" s="4" t="b">
        <f aca="false">TRUE()</f>
        <v>1</v>
      </c>
      <c r="E80" s="3" t="s">
        <v>8</v>
      </c>
    </row>
    <row r="81" customFormat="false" ht="15" hidden="false" customHeight="false" outlineLevel="0" collapsed="false">
      <c r="A81" s="2" t="s">
        <v>183</v>
      </c>
      <c r="B81" s="3" t="s">
        <v>184</v>
      </c>
      <c r="C81" s="3" t="s">
        <v>182</v>
      </c>
      <c r="D81" s="4" t="b">
        <f aca="false">TRUE()</f>
        <v>1</v>
      </c>
      <c r="E81" s="3" t="s">
        <v>11</v>
      </c>
    </row>
    <row r="82" customFormat="false" ht="15" hidden="false" customHeight="false" outlineLevel="0" collapsed="false">
      <c r="A82" s="2" t="s">
        <v>185</v>
      </c>
      <c r="B82" s="3" t="s">
        <v>186</v>
      </c>
      <c r="C82" s="3" t="s">
        <v>182</v>
      </c>
      <c r="D82" s="4" t="b">
        <f aca="false">FALSE()</f>
        <v>0</v>
      </c>
      <c r="E82" s="3" t="s">
        <v>14</v>
      </c>
    </row>
    <row r="83" customFormat="false" ht="15" hidden="false" customHeight="false" outlineLevel="0" collapsed="false">
      <c r="A83" s="2" t="s">
        <v>187</v>
      </c>
      <c r="B83" s="3" t="s">
        <v>188</v>
      </c>
      <c r="C83" s="3" t="s">
        <v>182</v>
      </c>
      <c r="D83" s="4" t="b">
        <f aca="false">TRUE()</f>
        <v>1</v>
      </c>
      <c r="E83" s="3" t="s">
        <v>17</v>
      </c>
    </row>
    <row r="84" customFormat="false" ht="15" hidden="false" customHeight="false" outlineLevel="0" collapsed="false">
      <c r="A84" s="2" t="s">
        <v>189</v>
      </c>
      <c r="B84" s="3" t="s">
        <v>190</v>
      </c>
      <c r="C84" s="3" t="s">
        <v>182</v>
      </c>
      <c r="D84" s="4" t="b">
        <f aca="false">TRUE()</f>
        <v>1</v>
      </c>
      <c r="E84" s="3" t="s">
        <v>20</v>
      </c>
    </row>
    <row r="85" customFormat="false" ht="15" hidden="false" customHeight="false" outlineLevel="0" collapsed="false">
      <c r="A85" s="2" t="s">
        <v>191</v>
      </c>
      <c r="B85" s="3" t="s">
        <v>192</v>
      </c>
      <c r="C85" s="3" t="s">
        <v>182</v>
      </c>
      <c r="D85" s="4" t="b">
        <f aca="false">FALSE()</f>
        <v>0</v>
      </c>
      <c r="E85" s="3" t="s">
        <v>23</v>
      </c>
    </row>
    <row r="86" customFormat="false" ht="23.85" hidden="false" customHeight="false" outlineLevel="0" collapsed="false">
      <c r="A86" s="2" t="s">
        <v>193</v>
      </c>
      <c r="B86" s="3" t="s">
        <v>194</v>
      </c>
      <c r="C86" s="3" t="s">
        <v>195</v>
      </c>
      <c r="D86" s="4" t="b">
        <f aca="false">TRUE()</f>
        <v>1</v>
      </c>
      <c r="E86" s="3" t="s">
        <v>8</v>
      </c>
    </row>
    <row r="87" customFormat="false" ht="23.85" hidden="false" customHeight="false" outlineLevel="0" collapsed="false">
      <c r="A87" s="2" t="s">
        <v>196</v>
      </c>
      <c r="B87" s="3" t="s">
        <v>197</v>
      </c>
      <c r="C87" s="3" t="s">
        <v>195</v>
      </c>
      <c r="D87" s="4" t="b">
        <f aca="false">TRUE()</f>
        <v>1</v>
      </c>
      <c r="E87" s="3" t="s">
        <v>11</v>
      </c>
    </row>
    <row r="88" customFormat="false" ht="23.85" hidden="false" customHeight="false" outlineLevel="0" collapsed="false">
      <c r="A88" s="2" t="s">
        <v>198</v>
      </c>
      <c r="B88" s="3" t="s">
        <v>199</v>
      </c>
      <c r="C88" s="3" t="s">
        <v>195</v>
      </c>
      <c r="D88" s="4" t="b">
        <f aca="false">FALSE()</f>
        <v>0</v>
      </c>
      <c r="E88" s="3" t="s">
        <v>14</v>
      </c>
    </row>
    <row r="89" customFormat="false" ht="23.85" hidden="false" customHeight="false" outlineLevel="0" collapsed="false">
      <c r="A89" s="2" t="s">
        <v>200</v>
      </c>
      <c r="B89" s="3" t="s">
        <v>201</v>
      </c>
      <c r="C89" s="3" t="s">
        <v>195</v>
      </c>
      <c r="D89" s="4" t="b">
        <f aca="false">FALSE()</f>
        <v>0</v>
      </c>
      <c r="E89" s="3" t="s">
        <v>17</v>
      </c>
    </row>
    <row r="90" customFormat="false" ht="23.85" hidden="false" customHeight="false" outlineLevel="0" collapsed="false">
      <c r="A90" s="2" t="s">
        <v>202</v>
      </c>
      <c r="B90" s="3" t="s">
        <v>203</v>
      </c>
      <c r="C90" s="3" t="s">
        <v>195</v>
      </c>
      <c r="D90" s="4" t="b">
        <f aca="false">TRUE()</f>
        <v>1</v>
      </c>
      <c r="E90" s="3" t="s">
        <v>20</v>
      </c>
    </row>
    <row r="91" customFormat="false" ht="23.85" hidden="false" customHeight="false" outlineLevel="0" collapsed="false">
      <c r="A91" s="2" t="s">
        <v>204</v>
      </c>
      <c r="B91" s="3" t="s">
        <v>205</v>
      </c>
      <c r="C91" s="3" t="s">
        <v>195</v>
      </c>
      <c r="D91" s="4" t="b">
        <f aca="false">FALSE()</f>
        <v>0</v>
      </c>
      <c r="E91" s="3" t="s">
        <v>23</v>
      </c>
    </row>
    <row r="92" customFormat="false" ht="23.85" hidden="false" customHeight="false" outlineLevel="0" collapsed="false">
      <c r="A92" s="2" t="s">
        <v>206</v>
      </c>
      <c r="B92" s="3" t="s">
        <v>207</v>
      </c>
      <c r="C92" s="3" t="s">
        <v>208</v>
      </c>
      <c r="D92" s="4" t="b">
        <f aca="false">TRUE()</f>
        <v>1</v>
      </c>
      <c r="E92" s="3" t="s">
        <v>8</v>
      </c>
    </row>
    <row r="93" customFormat="false" ht="23.85" hidden="false" customHeight="false" outlineLevel="0" collapsed="false">
      <c r="A93" s="2" t="s">
        <v>209</v>
      </c>
      <c r="B93" s="3" t="s">
        <v>210</v>
      </c>
      <c r="C93" s="3" t="s">
        <v>208</v>
      </c>
      <c r="D93" s="4" t="b">
        <f aca="false">TRUE()</f>
        <v>1</v>
      </c>
      <c r="E93" s="3" t="s">
        <v>11</v>
      </c>
    </row>
    <row r="94" customFormat="false" ht="23.85" hidden="false" customHeight="false" outlineLevel="0" collapsed="false">
      <c r="A94" s="2" t="s">
        <v>211</v>
      </c>
      <c r="B94" s="3" t="s">
        <v>212</v>
      </c>
      <c r="C94" s="3" t="s">
        <v>208</v>
      </c>
      <c r="D94" s="4" t="b">
        <f aca="false">FALSE()</f>
        <v>0</v>
      </c>
      <c r="E94" s="3" t="s">
        <v>14</v>
      </c>
    </row>
    <row r="95" customFormat="false" ht="23.85" hidden="false" customHeight="false" outlineLevel="0" collapsed="false">
      <c r="A95" s="2" t="s">
        <v>213</v>
      </c>
      <c r="B95" s="3" t="s">
        <v>214</v>
      </c>
      <c r="C95" s="3" t="s">
        <v>208</v>
      </c>
      <c r="D95" s="4" t="b">
        <f aca="false">FALSE()</f>
        <v>0</v>
      </c>
      <c r="E95" s="3" t="s">
        <v>17</v>
      </c>
    </row>
    <row r="96" customFormat="false" ht="23.85" hidden="false" customHeight="false" outlineLevel="0" collapsed="false">
      <c r="A96" s="2" t="s">
        <v>215</v>
      </c>
      <c r="B96" s="3" t="s">
        <v>216</v>
      </c>
      <c r="C96" s="3" t="s">
        <v>208</v>
      </c>
      <c r="D96" s="4" t="b">
        <f aca="false">TRUE()</f>
        <v>1</v>
      </c>
      <c r="E96" s="3" t="s">
        <v>20</v>
      </c>
    </row>
    <row r="97" customFormat="false" ht="23.85" hidden="false" customHeight="false" outlineLevel="0" collapsed="false">
      <c r="A97" s="2" t="s">
        <v>217</v>
      </c>
      <c r="B97" s="3" t="s">
        <v>218</v>
      </c>
      <c r="C97" s="3" t="s">
        <v>208</v>
      </c>
      <c r="D97" s="4" t="b">
        <f aca="false">FALSE()</f>
        <v>0</v>
      </c>
      <c r="E97" s="3" t="s">
        <v>23</v>
      </c>
    </row>
    <row r="98" customFormat="false" ht="15" hidden="false" customHeight="false" outlineLevel="0" collapsed="false">
      <c r="A98" s="2" t="s">
        <v>219</v>
      </c>
      <c r="B98" s="3" t="s">
        <v>220</v>
      </c>
      <c r="C98" s="3" t="s">
        <v>221</v>
      </c>
      <c r="D98" s="4" t="b">
        <f aca="false">TRUE()</f>
        <v>1</v>
      </c>
      <c r="E98" s="3" t="s">
        <v>8</v>
      </c>
    </row>
    <row r="99" customFormat="false" ht="15" hidden="false" customHeight="false" outlineLevel="0" collapsed="false">
      <c r="A99" s="2" t="s">
        <v>222</v>
      </c>
      <c r="B99" s="3" t="s">
        <v>223</v>
      </c>
      <c r="C99" s="3" t="s">
        <v>221</v>
      </c>
      <c r="D99" s="4" t="b">
        <f aca="false">TRUE()</f>
        <v>1</v>
      </c>
      <c r="E99" s="3" t="s">
        <v>11</v>
      </c>
    </row>
    <row r="100" customFormat="false" ht="15" hidden="false" customHeight="false" outlineLevel="0" collapsed="false">
      <c r="A100" s="2" t="s">
        <v>224</v>
      </c>
      <c r="B100" s="3" t="s">
        <v>225</v>
      </c>
      <c r="C100" s="3" t="s">
        <v>221</v>
      </c>
      <c r="D100" s="4" t="b">
        <f aca="false">FALSE()</f>
        <v>0</v>
      </c>
      <c r="E100" s="3" t="s">
        <v>14</v>
      </c>
    </row>
    <row r="101" customFormat="false" ht="15" hidden="false" customHeight="false" outlineLevel="0" collapsed="false">
      <c r="A101" s="2" t="s">
        <v>226</v>
      </c>
      <c r="B101" s="3" t="s">
        <v>227</v>
      </c>
      <c r="C101" s="3" t="s">
        <v>221</v>
      </c>
      <c r="D101" s="4" t="b">
        <f aca="false">FALSE()</f>
        <v>0</v>
      </c>
      <c r="E101" s="3" t="s">
        <v>17</v>
      </c>
    </row>
    <row r="102" customFormat="false" ht="15" hidden="false" customHeight="false" outlineLevel="0" collapsed="false">
      <c r="A102" s="2" t="s">
        <v>228</v>
      </c>
      <c r="B102" s="3" t="s">
        <v>229</v>
      </c>
      <c r="C102" s="3" t="s">
        <v>221</v>
      </c>
      <c r="D102" s="4" t="b">
        <f aca="false">TRUE()</f>
        <v>1</v>
      </c>
      <c r="E102" s="3" t="s">
        <v>20</v>
      </c>
    </row>
    <row r="103" customFormat="false" ht="15" hidden="false" customHeight="false" outlineLevel="0" collapsed="false">
      <c r="A103" s="2" t="s">
        <v>230</v>
      </c>
      <c r="B103" s="3" t="s">
        <v>231</v>
      </c>
      <c r="C103" s="3" t="s">
        <v>221</v>
      </c>
      <c r="D103" s="4" t="b">
        <f aca="false">FALSE()</f>
        <v>0</v>
      </c>
      <c r="E103" s="3" t="s">
        <v>23</v>
      </c>
    </row>
    <row r="104" customFormat="false" ht="15" hidden="false" customHeight="false" outlineLevel="0" collapsed="false">
      <c r="A104" s="2" t="s">
        <v>232</v>
      </c>
      <c r="B104" s="3" t="s">
        <v>233</v>
      </c>
      <c r="C104" s="3" t="s">
        <v>234</v>
      </c>
      <c r="D104" s="4" t="b">
        <f aca="false">TRUE()</f>
        <v>1</v>
      </c>
      <c r="E104" s="3" t="s">
        <v>8</v>
      </c>
    </row>
    <row r="105" customFormat="false" ht="15" hidden="false" customHeight="false" outlineLevel="0" collapsed="false">
      <c r="A105" s="2" t="s">
        <v>235</v>
      </c>
      <c r="B105" s="3" t="s">
        <v>236</v>
      </c>
      <c r="C105" s="3" t="s">
        <v>234</v>
      </c>
      <c r="D105" s="4" t="b">
        <f aca="false">TRUE()</f>
        <v>1</v>
      </c>
      <c r="E105" s="3" t="s">
        <v>11</v>
      </c>
    </row>
    <row r="106" customFormat="false" ht="15" hidden="false" customHeight="false" outlineLevel="0" collapsed="false">
      <c r="A106" s="2" t="s">
        <v>237</v>
      </c>
      <c r="B106" s="3" t="s">
        <v>238</v>
      </c>
      <c r="C106" s="3" t="s">
        <v>234</v>
      </c>
      <c r="D106" s="4" t="b">
        <f aca="false">FALSE()</f>
        <v>0</v>
      </c>
      <c r="E106" s="3" t="s">
        <v>14</v>
      </c>
    </row>
    <row r="107" customFormat="false" ht="15" hidden="false" customHeight="false" outlineLevel="0" collapsed="false">
      <c r="A107" s="2" t="s">
        <v>239</v>
      </c>
      <c r="B107" s="3" t="s">
        <v>240</v>
      </c>
      <c r="C107" s="3" t="s">
        <v>234</v>
      </c>
      <c r="D107" s="4" t="b">
        <f aca="false">FALSE()</f>
        <v>0</v>
      </c>
      <c r="E107" s="3" t="s">
        <v>17</v>
      </c>
    </row>
    <row r="108" customFormat="false" ht="15" hidden="false" customHeight="false" outlineLevel="0" collapsed="false">
      <c r="A108" s="2" t="s">
        <v>241</v>
      </c>
      <c r="B108" s="3" t="s">
        <v>242</v>
      </c>
      <c r="C108" s="3" t="s">
        <v>234</v>
      </c>
      <c r="D108" s="4" t="b">
        <f aca="false">TRUE()</f>
        <v>1</v>
      </c>
      <c r="E108" s="3" t="s">
        <v>20</v>
      </c>
    </row>
    <row r="109" customFormat="false" ht="15" hidden="false" customHeight="false" outlineLevel="0" collapsed="false">
      <c r="A109" s="2" t="s">
        <v>243</v>
      </c>
      <c r="B109" s="3" t="s">
        <v>244</v>
      </c>
      <c r="C109" s="3" t="s">
        <v>234</v>
      </c>
      <c r="D109" s="4" t="b">
        <f aca="false">FALSE()</f>
        <v>0</v>
      </c>
      <c r="E109" s="3" t="s">
        <v>23</v>
      </c>
    </row>
    <row r="110" customFormat="false" ht="15" hidden="false" customHeight="false" outlineLevel="0" collapsed="false">
      <c r="A110" s="2" t="s">
        <v>245</v>
      </c>
      <c r="B110" s="3" t="s">
        <v>246</v>
      </c>
      <c r="C110" s="3" t="s">
        <v>247</v>
      </c>
      <c r="D110" s="4" t="b">
        <f aca="false">TRUE()</f>
        <v>1</v>
      </c>
      <c r="E110" s="3" t="s">
        <v>8</v>
      </c>
    </row>
    <row r="111" customFormat="false" ht="15" hidden="false" customHeight="false" outlineLevel="0" collapsed="false">
      <c r="A111" s="2" t="s">
        <v>248</v>
      </c>
      <c r="B111" s="3" t="s">
        <v>249</v>
      </c>
      <c r="C111" s="3" t="s">
        <v>247</v>
      </c>
      <c r="D111" s="4" t="b">
        <f aca="false">TRUE()</f>
        <v>1</v>
      </c>
      <c r="E111" s="3" t="s">
        <v>11</v>
      </c>
    </row>
    <row r="112" customFormat="false" ht="15" hidden="false" customHeight="false" outlineLevel="0" collapsed="false">
      <c r="A112" s="2" t="s">
        <v>250</v>
      </c>
      <c r="B112" s="3" t="s">
        <v>251</v>
      </c>
      <c r="C112" s="3" t="s">
        <v>247</v>
      </c>
      <c r="D112" s="4" t="b">
        <f aca="false">FALSE()</f>
        <v>0</v>
      </c>
      <c r="E112" s="3" t="s">
        <v>14</v>
      </c>
    </row>
    <row r="113" customFormat="false" ht="15" hidden="false" customHeight="false" outlineLevel="0" collapsed="false">
      <c r="A113" s="2" t="s">
        <v>252</v>
      </c>
      <c r="B113" s="3" t="s">
        <v>253</v>
      </c>
      <c r="C113" s="3" t="s">
        <v>247</v>
      </c>
      <c r="D113" s="4" t="b">
        <f aca="false">FALSE()</f>
        <v>0</v>
      </c>
      <c r="E113" s="3" t="s">
        <v>17</v>
      </c>
    </row>
    <row r="114" customFormat="false" ht="15" hidden="false" customHeight="false" outlineLevel="0" collapsed="false">
      <c r="A114" s="2" t="s">
        <v>254</v>
      </c>
      <c r="B114" s="3" t="s">
        <v>255</v>
      </c>
      <c r="C114" s="3" t="s">
        <v>247</v>
      </c>
      <c r="D114" s="4" t="b">
        <f aca="false">TRUE()</f>
        <v>1</v>
      </c>
      <c r="E114" s="3" t="s">
        <v>20</v>
      </c>
    </row>
    <row r="115" customFormat="false" ht="15" hidden="false" customHeight="false" outlineLevel="0" collapsed="false">
      <c r="A115" s="2" t="s">
        <v>256</v>
      </c>
      <c r="B115" s="3" t="s">
        <v>257</v>
      </c>
      <c r="C115" s="3" t="s">
        <v>247</v>
      </c>
      <c r="D115" s="4" t="b">
        <f aca="false">FALSE()</f>
        <v>0</v>
      </c>
      <c r="E115" s="3" t="s">
        <v>23</v>
      </c>
    </row>
  </sheetData>
  <autoFilter ref="A1:E115"/>
  <conditionalFormatting sqref="D2:D115">
    <cfRule type="cellIs" priority="2" operator="equal" aboveAverage="0" equalAverage="0" bottom="0" percent="0" rank="0" text="" dxfId="5">
      <formula>1</formula>
    </cfRule>
    <cfRule type="cellIs" priority="3" operator="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70"/>
    <col collapsed="false" customWidth="true" hidden="false" outlineLevel="0" max="6" min="6" style="0" width="14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0</v>
      </c>
      <c r="B1" s="1" t="s">
        <v>2</v>
      </c>
      <c r="C1" s="1" t="s">
        <v>4</v>
      </c>
      <c r="D1" s="1" t="s">
        <v>258</v>
      </c>
      <c r="E1" s="1" t="s">
        <v>259</v>
      </c>
      <c r="F1" s="1" t="s">
        <v>3</v>
      </c>
      <c r="G1" s="1" t="s">
        <v>260</v>
      </c>
    </row>
    <row r="2" customFormat="false" ht="35.05" hidden="false" customHeight="false" outlineLevel="0" collapsed="false">
      <c r="A2" s="2" t="s">
        <v>5</v>
      </c>
      <c r="B2" s="3" t="str">
        <f aca="false">INDEX(TARA!$C$2:$C$115,MATCH(A2,TARA!$A$2:$A$115,0))</f>
        <v>AI Controller Module</v>
      </c>
      <c r="C2" s="3" t="str">
        <f aca="false">INDEX(TARA!$E$2:$E$115,MATCH(A2,TARA!$A$2:$A$115,0))</f>
        <v>Spoofing</v>
      </c>
      <c r="D2" s="3" t="s">
        <v>261</v>
      </c>
      <c r="E2" s="3" t="s">
        <v>262</v>
      </c>
      <c r="F2" s="4" t="b">
        <f aca="false">INDEX(TARA!$D$2:$D$115,MATCH(A2,TARA!$A$2:$A$115,0))</f>
        <v>1</v>
      </c>
      <c r="G2" s="3" t="s">
        <v>263</v>
      </c>
    </row>
    <row r="3" customFormat="false" ht="35.05" hidden="false" customHeight="false" outlineLevel="0" collapsed="false">
      <c r="A3" s="2" t="s">
        <v>9</v>
      </c>
      <c r="B3" s="3" t="str">
        <f aca="false">INDEX(TARA!$C$2:$C$115,MATCH(A3,TARA!$A$2:$A$115,0))</f>
        <v>AI Controller Module</v>
      </c>
      <c r="C3" s="3" t="str">
        <f aca="false">INDEX(TARA!$E$2:$E$115,MATCH(A3,TARA!$A$2:$A$115,0))</f>
        <v>Tampering</v>
      </c>
      <c r="D3" s="3" t="s">
        <v>264</v>
      </c>
      <c r="E3" s="3" t="s">
        <v>265</v>
      </c>
      <c r="F3" s="4" t="b">
        <f aca="false">INDEX(TARA!$D$2:$D$115,MATCH(A3,TARA!$A$2:$A$115,0))</f>
        <v>1</v>
      </c>
      <c r="G3" s="3" t="s">
        <v>266</v>
      </c>
    </row>
    <row r="4" customFormat="false" ht="35.05" hidden="false" customHeight="false" outlineLevel="0" collapsed="false">
      <c r="A4" s="2" t="s">
        <v>12</v>
      </c>
      <c r="B4" s="3" t="str">
        <f aca="false">INDEX(TARA!$C$2:$C$115,MATCH(A4,TARA!$A$2:$A$115,0))</f>
        <v>AI Controller Module</v>
      </c>
      <c r="C4" s="3" t="str">
        <f aca="false">INDEX(TARA!$E$2:$E$115,MATCH(A4,TARA!$A$2:$A$115,0))</f>
        <v>Repudiation</v>
      </c>
      <c r="D4" s="3" t="s">
        <v>267</v>
      </c>
      <c r="E4" s="3" t="s">
        <v>268</v>
      </c>
      <c r="F4" s="4" t="b">
        <f aca="false">INDEX(TARA!$D$2:$D$115,MATCH(A4,TARA!$A$2:$A$115,0))</f>
        <v>1</v>
      </c>
      <c r="G4" s="3" t="s">
        <v>269</v>
      </c>
    </row>
    <row r="5" customFormat="false" ht="35.05" hidden="false" customHeight="false" outlineLevel="0" collapsed="false">
      <c r="A5" s="2" t="s">
        <v>15</v>
      </c>
      <c r="B5" s="3" t="str">
        <f aca="false">INDEX(TARA!$C$2:$C$115,MATCH(A5,TARA!$A$2:$A$115,0))</f>
        <v>AI Controller Module</v>
      </c>
      <c r="C5" s="3" t="str">
        <f aca="false">INDEX(TARA!$E$2:$E$115,MATCH(A5,TARA!$A$2:$A$115,0))</f>
        <v>Information Disclosure</v>
      </c>
      <c r="D5" s="3" t="s">
        <v>270</v>
      </c>
      <c r="E5" s="3" t="s">
        <v>271</v>
      </c>
      <c r="F5" s="4" t="b">
        <f aca="false">INDEX(TARA!$D$2:$D$115,MATCH(A5,TARA!$A$2:$A$115,0))</f>
        <v>1</v>
      </c>
      <c r="G5" s="3" t="s">
        <v>272</v>
      </c>
    </row>
    <row r="6" customFormat="false" ht="35.05" hidden="false" customHeight="false" outlineLevel="0" collapsed="false">
      <c r="A6" s="2" t="s">
        <v>18</v>
      </c>
      <c r="B6" s="3" t="str">
        <f aca="false">INDEX(TARA!$C$2:$C$115,MATCH(A6,TARA!$A$2:$A$115,0))</f>
        <v>AI Controller Module</v>
      </c>
      <c r="C6" s="3" t="str">
        <f aca="false">INDEX(TARA!$E$2:$E$115,MATCH(A6,TARA!$A$2:$A$115,0))</f>
        <v>Denial of Service</v>
      </c>
      <c r="D6" s="3" t="s">
        <v>273</v>
      </c>
      <c r="E6" s="3" t="s">
        <v>274</v>
      </c>
      <c r="F6" s="4" t="b">
        <f aca="false">INDEX(TARA!$D$2:$D$115,MATCH(A6,TARA!$A$2:$A$115,0))</f>
        <v>1</v>
      </c>
      <c r="G6" s="3" t="s">
        <v>275</v>
      </c>
    </row>
    <row r="7" customFormat="false" ht="35.05" hidden="false" customHeight="false" outlineLevel="0" collapsed="false">
      <c r="A7" s="2" t="s">
        <v>21</v>
      </c>
      <c r="B7" s="3" t="str">
        <f aca="false">INDEX(TARA!$C$2:$C$115,MATCH(A7,TARA!$A$2:$A$115,0))</f>
        <v>AI Controller Module</v>
      </c>
      <c r="C7" s="3" t="str">
        <f aca="false">INDEX(TARA!$E$2:$E$115,MATCH(A7,TARA!$A$2:$A$115,0))</f>
        <v>Elevation of Privilege</v>
      </c>
      <c r="D7" s="3" t="s">
        <v>276</v>
      </c>
      <c r="E7" s="3" t="s">
        <v>277</v>
      </c>
      <c r="F7" s="4" t="b">
        <f aca="false">INDEX(TARA!$D$2:$D$115,MATCH(A7,TARA!$A$2:$A$115,0))</f>
        <v>1</v>
      </c>
      <c r="G7" s="3" t="s">
        <v>278</v>
      </c>
    </row>
    <row r="8" customFormat="false" ht="23.85" hidden="false" customHeight="false" outlineLevel="0" collapsed="false">
      <c r="A8" s="2" t="s">
        <v>24</v>
      </c>
      <c r="B8" s="3" t="str">
        <f aca="false">INDEX(TARA!$C$2:$C$115,MATCH(A8,TARA!$A$2:$A$115,0))</f>
        <v>Perception Module</v>
      </c>
      <c r="C8" s="3" t="str">
        <f aca="false">INDEX(TARA!$E$2:$E$115,MATCH(A8,TARA!$A$2:$A$115,0))</f>
        <v>Spoofing</v>
      </c>
      <c r="D8" s="3" t="s">
        <v>261</v>
      </c>
      <c r="E8" s="3" t="s">
        <v>279</v>
      </c>
      <c r="F8" s="4" t="b">
        <f aca="false">INDEX(TARA!$D$2:$D$115,MATCH(A8,TARA!$A$2:$A$115,0))</f>
        <v>1</v>
      </c>
      <c r="G8" s="3" t="s">
        <v>280</v>
      </c>
    </row>
    <row r="9" customFormat="false" ht="35.05" hidden="false" customHeight="false" outlineLevel="0" collapsed="false">
      <c r="A9" s="2" t="s">
        <v>27</v>
      </c>
      <c r="B9" s="3" t="str">
        <f aca="false">INDEX(TARA!$C$2:$C$115,MATCH(A9,TARA!$A$2:$A$115,0))</f>
        <v>Perception Module</v>
      </c>
      <c r="C9" s="3" t="str">
        <f aca="false">INDEX(TARA!$E$2:$E$115,MATCH(A9,TARA!$A$2:$A$115,0))</f>
        <v>Tampering</v>
      </c>
      <c r="D9" s="3" t="s">
        <v>264</v>
      </c>
      <c r="E9" s="3" t="s">
        <v>281</v>
      </c>
      <c r="F9" s="4" t="b">
        <f aca="false">INDEX(TARA!$D$2:$D$115,MATCH(A9,TARA!$A$2:$A$115,0))</f>
        <v>1</v>
      </c>
      <c r="G9" s="3" t="s">
        <v>282</v>
      </c>
    </row>
    <row r="10" customFormat="false" ht="23.85" hidden="false" customHeight="false" outlineLevel="0" collapsed="false">
      <c r="A10" s="2" t="s">
        <v>29</v>
      </c>
      <c r="B10" s="3" t="str">
        <f aca="false">INDEX(TARA!$C$2:$C$115,MATCH(A10,TARA!$A$2:$A$115,0))</f>
        <v>Perception Module</v>
      </c>
      <c r="C10" s="3" t="str">
        <f aca="false">INDEX(TARA!$E$2:$E$115,MATCH(A10,TARA!$A$2:$A$115,0))</f>
        <v>Repudiation</v>
      </c>
      <c r="D10" s="3" t="s">
        <v>267</v>
      </c>
      <c r="E10" s="3" t="s">
        <v>283</v>
      </c>
      <c r="F10" s="4" t="b">
        <f aca="false">INDEX(TARA!$D$2:$D$115,MATCH(A10,TARA!$A$2:$A$115,0))</f>
        <v>0</v>
      </c>
      <c r="G10" s="3" t="s">
        <v>284</v>
      </c>
    </row>
    <row r="11" customFormat="false" ht="23.85" hidden="false" customHeight="false" outlineLevel="0" collapsed="false">
      <c r="A11" s="2" t="s">
        <v>31</v>
      </c>
      <c r="B11" s="3" t="str">
        <f aca="false">INDEX(TARA!$C$2:$C$115,MATCH(A11,TARA!$A$2:$A$115,0))</f>
        <v>Perception Module</v>
      </c>
      <c r="C11" s="3" t="str">
        <f aca="false">INDEX(TARA!$E$2:$E$115,MATCH(A11,TARA!$A$2:$A$115,0))</f>
        <v>Information Disclosure</v>
      </c>
      <c r="D11" s="3" t="s">
        <v>270</v>
      </c>
      <c r="E11" s="3" t="s">
        <v>285</v>
      </c>
      <c r="F11" s="4" t="b">
        <f aca="false">INDEX(TARA!$D$2:$D$115,MATCH(A11,TARA!$A$2:$A$115,0))</f>
        <v>1</v>
      </c>
      <c r="G11" s="3" t="s">
        <v>286</v>
      </c>
    </row>
    <row r="12" customFormat="false" ht="23.85" hidden="false" customHeight="false" outlineLevel="0" collapsed="false">
      <c r="A12" s="2" t="s">
        <v>33</v>
      </c>
      <c r="B12" s="3" t="str">
        <f aca="false">INDEX(TARA!$C$2:$C$115,MATCH(A12,TARA!$A$2:$A$115,0))</f>
        <v>Perception Module</v>
      </c>
      <c r="C12" s="3" t="str">
        <f aca="false">INDEX(TARA!$E$2:$E$115,MATCH(A12,TARA!$A$2:$A$115,0))</f>
        <v>Denial of Service</v>
      </c>
      <c r="D12" s="3" t="s">
        <v>273</v>
      </c>
      <c r="E12" s="3" t="s">
        <v>287</v>
      </c>
      <c r="F12" s="4" t="b">
        <f aca="false">INDEX(TARA!$D$2:$D$115,MATCH(A12,TARA!$A$2:$A$115,0))</f>
        <v>1</v>
      </c>
      <c r="G12" s="3" t="s">
        <v>288</v>
      </c>
    </row>
    <row r="13" customFormat="false" ht="23.85" hidden="false" customHeight="false" outlineLevel="0" collapsed="false">
      <c r="A13" s="2" t="s">
        <v>35</v>
      </c>
      <c r="B13" s="3" t="str">
        <f aca="false">INDEX(TARA!$C$2:$C$115,MATCH(A13,TARA!$A$2:$A$115,0))</f>
        <v>Perception Module</v>
      </c>
      <c r="C13" s="3" t="str">
        <f aca="false">INDEX(TARA!$E$2:$E$115,MATCH(A13,TARA!$A$2:$A$115,0))</f>
        <v>Elevation of Privilege</v>
      </c>
      <c r="D13" s="3" t="s">
        <v>276</v>
      </c>
      <c r="E13" s="3" t="s">
        <v>289</v>
      </c>
      <c r="F13" s="4" t="b">
        <f aca="false">INDEX(TARA!$D$2:$D$115,MATCH(A13,TARA!$A$2:$A$115,0))</f>
        <v>1</v>
      </c>
      <c r="G13" s="3" t="s">
        <v>290</v>
      </c>
    </row>
    <row r="14" customFormat="false" ht="23.85" hidden="false" customHeight="false" outlineLevel="0" collapsed="false">
      <c r="A14" s="2" t="s">
        <v>37</v>
      </c>
      <c r="B14" s="3" t="str">
        <f aca="false">INDEX(TARA!$C$2:$C$115,MATCH(A14,TARA!$A$2:$A$115,0))</f>
        <v>Actuation Module</v>
      </c>
      <c r="C14" s="3" t="str">
        <f aca="false">INDEX(TARA!$E$2:$E$115,MATCH(A14,TARA!$A$2:$A$115,0))</f>
        <v>Spoofing</v>
      </c>
      <c r="D14" s="3" t="s">
        <v>261</v>
      </c>
      <c r="E14" s="3" t="s">
        <v>291</v>
      </c>
      <c r="F14" s="4" t="b">
        <f aca="false">INDEX(TARA!$D$2:$D$115,MATCH(A14,TARA!$A$2:$A$115,0))</f>
        <v>1</v>
      </c>
      <c r="G14" s="3" t="s">
        <v>292</v>
      </c>
    </row>
    <row r="15" customFormat="false" ht="35.05" hidden="false" customHeight="false" outlineLevel="0" collapsed="false">
      <c r="A15" s="2" t="s">
        <v>40</v>
      </c>
      <c r="B15" s="3" t="str">
        <f aca="false">INDEX(TARA!$C$2:$C$115,MATCH(A15,TARA!$A$2:$A$115,0))</f>
        <v>Actuation Module</v>
      </c>
      <c r="C15" s="3" t="str">
        <f aca="false">INDEX(TARA!$E$2:$E$115,MATCH(A15,TARA!$A$2:$A$115,0))</f>
        <v>Tampering</v>
      </c>
      <c r="D15" s="3" t="s">
        <v>264</v>
      </c>
      <c r="E15" s="3" t="s">
        <v>293</v>
      </c>
      <c r="F15" s="4" t="b">
        <f aca="false">INDEX(TARA!$D$2:$D$115,MATCH(A15,TARA!$A$2:$A$115,0))</f>
        <v>1</v>
      </c>
      <c r="G15" s="3" t="s">
        <v>294</v>
      </c>
    </row>
    <row r="16" customFormat="false" ht="23.85" hidden="false" customHeight="false" outlineLevel="0" collapsed="false">
      <c r="A16" s="2" t="s">
        <v>42</v>
      </c>
      <c r="B16" s="3" t="str">
        <f aca="false">INDEX(TARA!$C$2:$C$115,MATCH(A16,TARA!$A$2:$A$115,0))</f>
        <v>Actuation Module</v>
      </c>
      <c r="C16" s="3" t="str">
        <f aca="false">INDEX(TARA!$E$2:$E$115,MATCH(A16,TARA!$A$2:$A$115,0))</f>
        <v>Repudiation</v>
      </c>
      <c r="D16" s="3" t="s">
        <v>267</v>
      </c>
      <c r="E16" s="3" t="s">
        <v>295</v>
      </c>
      <c r="F16" s="4" t="b">
        <f aca="false">INDEX(TARA!$D$2:$D$115,MATCH(A16,TARA!$A$2:$A$115,0))</f>
        <v>0</v>
      </c>
      <c r="G16" s="3" t="s">
        <v>296</v>
      </c>
    </row>
    <row r="17" customFormat="false" ht="23.85" hidden="false" customHeight="false" outlineLevel="0" collapsed="false">
      <c r="A17" s="2" t="s">
        <v>44</v>
      </c>
      <c r="B17" s="3" t="str">
        <f aca="false">INDEX(TARA!$C$2:$C$115,MATCH(A17,TARA!$A$2:$A$115,0))</f>
        <v>Actuation Module</v>
      </c>
      <c r="C17" s="3" t="str">
        <f aca="false">INDEX(TARA!$E$2:$E$115,MATCH(A17,TARA!$A$2:$A$115,0))</f>
        <v>Information Disclosure</v>
      </c>
      <c r="D17" s="3" t="s">
        <v>270</v>
      </c>
      <c r="E17" s="3" t="s">
        <v>297</v>
      </c>
      <c r="F17" s="4" t="b">
        <f aca="false">INDEX(TARA!$D$2:$D$115,MATCH(A17,TARA!$A$2:$A$115,0))</f>
        <v>0</v>
      </c>
      <c r="G17" s="3" t="s">
        <v>298</v>
      </c>
    </row>
    <row r="18" customFormat="false" ht="23.85" hidden="false" customHeight="false" outlineLevel="0" collapsed="false">
      <c r="A18" s="2" t="s">
        <v>46</v>
      </c>
      <c r="B18" s="3" t="str">
        <f aca="false">INDEX(TARA!$C$2:$C$115,MATCH(A18,TARA!$A$2:$A$115,0))</f>
        <v>Actuation Module</v>
      </c>
      <c r="C18" s="3" t="str">
        <f aca="false">INDEX(TARA!$E$2:$E$115,MATCH(A18,TARA!$A$2:$A$115,0))</f>
        <v>Denial of Service</v>
      </c>
      <c r="D18" s="3" t="s">
        <v>273</v>
      </c>
      <c r="E18" s="3" t="s">
        <v>299</v>
      </c>
      <c r="F18" s="4" t="b">
        <f aca="false">INDEX(TARA!$D$2:$D$115,MATCH(A18,TARA!$A$2:$A$115,0))</f>
        <v>1</v>
      </c>
      <c r="G18" s="3" t="s">
        <v>300</v>
      </c>
    </row>
    <row r="19" customFormat="false" ht="23.85" hidden="false" customHeight="false" outlineLevel="0" collapsed="false">
      <c r="A19" s="2" t="s">
        <v>48</v>
      </c>
      <c r="B19" s="3" t="str">
        <f aca="false">INDEX(TARA!$C$2:$C$115,MATCH(A19,TARA!$A$2:$A$115,0))</f>
        <v>Actuation Module</v>
      </c>
      <c r="C19" s="3" t="str">
        <f aca="false">INDEX(TARA!$E$2:$E$115,MATCH(A19,TARA!$A$2:$A$115,0))</f>
        <v>Elevation of Privilege</v>
      </c>
      <c r="D19" s="3" t="s">
        <v>276</v>
      </c>
      <c r="E19" s="3" t="s">
        <v>301</v>
      </c>
      <c r="F19" s="4" t="b">
        <f aca="false">INDEX(TARA!$D$2:$D$115,MATCH(A19,TARA!$A$2:$A$115,0))</f>
        <v>1</v>
      </c>
      <c r="G19" s="3" t="s">
        <v>302</v>
      </c>
    </row>
    <row r="20" customFormat="false" ht="35.05" hidden="false" customHeight="false" outlineLevel="0" collapsed="false">
      <c r="A20" s="2" t="s">
        <v>50</v>
      </c>
      <c r="B20" s="3" t="str">
        <f aca="false">INDEX(TARA!$C$2:$C$115,MATCH(A20,TARA!$A$2:$A$115,0))</f>
        <v>Camera</v>
      </c>
      <c r="C20" s="3" t="str">
        <f aca="false">INDEX(TARA!$E$2:$E$115,MATCH(A20,TARA!$A$2:$A$115,0))</f>
        <v>Spoofing</v>
      </c>
      <c r="D20" s="3" t="s">
        <v>261</v>
      </c>
      <c r="E20" s="3" t="s">
        <v>303</v>
      </c>
      <c r="F20" s="4" t="b">
        <f aca="false">INDEX(TARA!$D$2:$D$115,MATCH(A20,TARA!$A$2:$A$115,0))</f>
        <v>1</v>
      </c>
      <c r="G20" s="3" t="s">
        <v>304</v>
      </c>
    </row>
    <row r="21" customFormat="false" ht="23.85" hidden="false" customHeight="false" outlineLevel="0" collapsed="false">
      <c r="A21" s="2" t="s">
        <v>53</v>
      </c>
      <c r="B21" s="3" t="str">
        <f aca="false">INDEX(TARA!$C$2:$C$115,MATCH(A21,TARA!$A$2:$A$115,0))</f>
        <v>Camera</v>
      </c>
      <c r="C21" s="3" t="str">
        <f aca="false">INDEX(TARA!$E$2:$E$115,MATCH(A21,TARA!$A$2:$A$115,0))</f>
        <v>Tampering</v>
      </c>
      <c r="D21" s="3" t="s">
        <v>264</v>
      </c>
      <c r="E21" s="3" t="s">
        <v>305</v>
      </c>
      <c r="F21" s="4" t="b">
        <f aca="false">INDEX(TARA!$D$2:$D$115,MATCH(A21,TARA!$A$2:$A$115,0))</f>
        <v>1</v>
      </c>
      <c r="G21" s="3" t="s">
        <v>306</v>
      </c>
    </row>
    <row r="22" customFormat="false" ht="23.85" hidden="false" customHeight="false" outlineLevel="0" collapsed="false">
      <c r="A22" s="2" t="s">
        <v>55</v>
      </c>
      <c r="B22" s="3" t="str">
        <f aca="false">INDEX(TARA!$C$2:$C$115,MATCH(A22,TARA!$A$2:$A$115,0))</f>
        <v>Camera</v>
      </c>
      <c r="C22" s="3" t="str">
        <f aca="false">INDEX(TARA!$E$2:$E$115,MATCH(A22,TARA!$A$2:$A$115,0))</f>
        <v>Repudiation</v>
      </c>
      <c r="D22" s="3" t="s">
        <v>267</v>
      </c>
      <c r="E22" s="3" t="s">
        <v>307</v>
      </c>
      <c r="F22" s="4" t="b">
        <f aca="false">INDEX(TARA!$D$2:$D$115,MATCH(A22,TARA!$A$2:$A$115,0))</f>
        <v>0</v>
      </c>
      <c r="G22" s="3" t="s">
        <v>308</v>
      </c>
    </row>
    <row r="23" customFormat="false" ht="15" hidden="false" customHeight="false" outlineLevel="0" collapsed="false">
      <c r="A23" s="2" t="s">
        <v>57</v>
      </c>
      <c r="B23" s="3" t="str">
        <f aca="false">INDEX(TARA!$C$2:$C$115,MATCH(A23,TARA!$A$2:$A$115,0))</f>
        <v>Camera</v>
      </c>
      <c r="C23" s="3" t="str">
        <f aca="false">INDEX(TARA!$E$2:$E$115,MATCH(A23,TARA!$A$2:$A$115,0))</f>
        <v>Information Disclosure</v>
      </c>
      <c r="D23" s="3" t="s">
        <v>270</v>
      </c>
      <c r="E23" s="3" t="s">
        <v>309</v>
      </c>
      <c r="F23" s="4" t="b">
        <f aca="false">INDEX(TARA!$D$2:$D$115,MATCH(A23,TARA!$A$2:$A$115,0))</f>
        <v>1</v>
      </c>
      <c r="G23" s="3" t="s">
        <v>310</v>
      </c>
    </row>
    <row r="24" customFormat="false" ht="23.85" hidden="false" customHeight="false" outlineLevel="0" collapsed="false">
      <c r="A24" s="2" t="s">
        <v>59</v>
      </c>
      <c r="B24" s="3" t="str">
        <f aca="false">INDEX(TARA!$C$2:$C$115,MATCH(A24,TARA!$A$2:$A$115,0))</f>
        <v>Camera</v>
      </c>
      <c r="C24" s="3" t="str">
        <f aca="false">INDEX(TARA!$E$2:$E$115,MATCH(A24,TARA!$A$2:$A$115,0))</f>
        <v>Denial of Service</v>
      </c>
      <c r="D24" s="3" t="s">
        <v>273</v>
      </c>
      <c r="E24" s="3" t="s">
        <v>311</v>
      </c>
      <c r="F24" s="4" t="b">
        <f aca="false">INDEX(TARA!$D$2:$D$115,MATCH(A24,TARA!$A$2:$A$115,0))</f>
        <v>1</v>
      </c>
      <c r="G24" s="3" t="s">
        <v>312</v>
      </c>
    </row>
    <row r="25" customFormat="false" ht="23.85" hidden="false" customHeight="false" outlineLevel="0" collapsed="false">
      <c r="A25" s="2" t="s">
        <v>61</v>
      </c>
      <c r="B25" s="3" t="str">
        <f aca="false">INDEX(TARA!$C$2:$C$115,MATCH(A25,TARA!$A$2:$A$115,0))</f>
        <v>Camera</v>
      </c>
      <c r="C25" s="3" t="str">
        <f aca="false">INDEX(TARA!$E$2:$E$115,MATCH(A25,TARA!$A$2:$A$115,0))</f>
        <v>Elevation of Privilege</v>
      </c>
      <c r="D25" s="3" t="s">
        <v>276</v>
      </c>
      <c r="E25" s="3" t="s">
        <v>313</v>
      </c>
      <c r="F25" s="4" t="b">
        <f aca="false">INDEX(TARA!$D$2:$D$115,MATCH(A25,TARA!$A$2:$A$115,0))</f>
        <v>0</v>
      </c>
      <c r="G25" s="3" t="s">
        <v>314</v>
      </c>
    </row>
    <row r="26" customFormat="false" ht="23.85" hidden="false" customHeight="false" outlineLevel="0" collapsed="false">
      <c r="A26" s="2" t="s">
        <v>63</v>
      </c>
      <c r="B26" s="3" t="str">
        <f aca="false">INDEX(TARA!$C$2:$C$115,MATCH(A26,TARA!$A$2:$A$115,0))</f>
        <v>Radar</v>
      </c>
      <c r="C26" s="3" t="str">
        <f aca="false">INDEX(TARA!$E$2:$E$115,MATCH(A26,TARA!$A$2:$A$115,0))</f>
        <v>Spoofing</v>
      </c>
      <c r="D26" s="3" t="s">
        <v>261</v>
      </c>
      <c r="E26" s="3" t="s">
        <v>315</v>
      </c>
      <c r="F26" s="4" t="b">
        <f aca="false">INDEX(TARA!$D$2:$D$115,MATCH(A26,TARA!$A$2:$A$115,0))</f>
        <v>1</v>
      </c>
      <c r="G26" s="3" t="s">
        <v>316</v>
      </c>
    </row>
    <row r="27" customFormat="false" ht="23.85" hidden="false" customHeight="false" outlineLevel="0" collapsed="false">
      <c r="A27" s="2" t="s">
        <v>66</v>
      </c>
      <c r="B27" s="3" t="str">
        <f aca="false">INDEX(TARA!$C$2:$C$115,MATCH(A27,TARA!$A$2:$A$115,0))</f>
        <v>Radar</v>
      </c>
      <c r="C27" s="3" t="str">
        <f aca="false">INDEX(TARA!$E$2:$E$115,MATCH(A27,TARA!$A$2:$A$115,0))</f>
        <v>Tampering</v>
      </c>
      <c r="D27" s="3" t="s">
        <v>264</v>
      </c>
      <c r="E27" s="3" t="s">
        <v>317</v>
      </c>
      <c r="F27" s="4" t="b">
        <f aca="false">INDEX(TARA!$D$2:$D$115,MATCH(A27,TARA!$A$2:$A$115,0))</f>
        <v>1</v>
      </c>
      <c r="G27" s="3" t="s">
        <v>318</v>
      </c>
    </row>
    <row r="28" customFormat="false" ht="23.85" hidden="false" customHeight="false" outlineLevel="0" collapsed="false">
      <c r="A28" s="2" t="s">
        <v>68</v>
      </c>
      <c r="B28" s="3" t="str">
        <f aca="false">INDEX(TARA!$C$2:$C$115,MATCH(A28,TARA!$A$2:$A$115,0))</f>
        <v>Radar</v>
      </c>
      <c r="C28" s="3" t="str">
        <f aca="false">INDEX(TARA!$E$2:$E$115,MATCH(A28,TARA!$A$2:$A$115,0))</f>
        <v>Repudiation</v>
      </c>
      <c r="D28" s="3" t="s">
        <v>267</v>
      </c>
      <c r="E28" s="3" t="s">
        <v>319</v>
      </c>
      <c r="F28" s="4" t="b">
        <f aca="false">INDEX(TARA!$D$2:$D$115,MATCH(A28,TARA!$A$2:$A$115,0))</f>
        <v>0</v>
      </c>
      <c r="G28" s="3" t="s">
        <v>308</v>
      </c>
    </row>
    <row r="29" customFormat="false" ht="23.85" hidden="false" customHeight="false" outlineLevel="0" collapsed="false">
      <c r="A29" s="2" t="s">
        <v>70</v>
      </c>
      <c r="B29" s="3" t="str">
        <f aca="false">INDEX(TARA!$C$2:$C$115,MATCH(A29,TARA!$A$2:$A$115,0))</f>
        <v>Radar</v>
      </c>
      <c r="C29" s="3" t="str">
        <f aca="false">INDEX(TARA!$E$2:$E$115,MATCH(A29,TARA!$A$2:$A$115,0))</f>
        <v>Information Disclosure</v>
      </c>
      <c r="D29" s="3" t="s">
        <v>270</v>
      </c>
      <c r="E29" s="3" t="s">
        <v>320</v>
      </c>
      <c r="F29" s="4" t="b">
        <f aca="false">INDEX(TARA!$D$2:$D$115,MATCH(A29,TARA!$A$2:$A$115,0))</f>
        <v>0</v>
      </c>
      <c r="G29" s="3" t="s">
        <v>321</v>
      </c>
    </row>
    <row r="30" customFormat="false" ht="23.85" hidden="false" customHeight="false" outlineLevel="0" collapsed="false">
      <c r="A30" s="2" t="s">
        <v>72</v>
      </c>
      <c r="B30" s="3" t="str">
        <f aca="false">INDEX(TARA!$C$2:$C$115,MATCH(A30,TARA!$A$2:$A$115,0))</f>
        <v>Radar</v>
      </c>
      <c r="C30" s="3" t="str">
        <f aca="false">INDEX(TARA!$E$2:$E$115,MATCH(A30,TARA!$A$2:$A$115,0))</f>
        <v>Denial of Service</v>
      </c>
      <c r="D30" s="3" t="s">
        <v>273</v>
      </c>
      <c r="E30" s="3" t="s">
        <v>322</v>
      </c>
      <c r="F30" s="4" t="b">
        <f aca="false">INDEX(TARA!$D$2:$D$115,MATCH(A30,TARA!$A$2:$A$115,0))</f>
        <v>1</v>
      </c>
      <c r="G30" s="3" t="s">
        <v>323</v>
      </c>
    </row>
    <row r="31" customFormat="false" ht="23.85" hidden="false" customHeight="false" outlineLevel="0" collapsed="false">
      <c r="A31" s="2" t="s">
        <v>74</v>
      </c>
      <c r="B31" s="3" t="str">
        <f aca="false">INDEX(TARA!$C$2:$C$115,MATCH(A31,TARA!$A$2:$A$115,0))</f>
        <v>Radar</v>
      </c>
      <c r="C31" s="3" t="str">
        <f aca="false">INDEX(TARA!$E$2:$E$115,MATCH(A31,TARA!$A$2:$A$115,0))</f>
        <v>Elevation of Privilege</v>
      </c>
      <c r="D31" s="3" t="s">
        <v>276</v>
      </c>
      <c r="E31" s="3" t="s">
        <v>324</v>
      </c>
      <c r="F31" s="4" t="b">
        <f aca="false">INDEX(TARA!$D$2:$D$115,MATCH(A31,TARA!$A$2:$A$115,0))</f>
        <v>0</v>
      </c>
      <c r="G31" s="3" t="s">
        <v>325</v>
      </c>
    </row>
    <row r="32" customFormat="false" ht="23.85" hidden="false" customHeight="false" outlineLevel="0" collapsed="false">
      <c r="A32" s="2" t="s">
        <v>76</v>
      </c>
      <c r="B32" s="3" t="str">
        <f aca="false">INDEX(TARA!$C$2:$C$115,MATCH(A32,TARA!$A$2:$A$115,0))</f>
        <v>LIDAR</v>
      </c>
      <c r="C32" s="3" t="str">
        <f aca="false">INDEX(TARA!$E$2:$E$115,MATCH(A32,TARA!$A$2:$A$115,0))</f>
        <v>Spoofing</v>
      </c>
      <c r="D32" s="3" t="s">
        <v>261</v>
      </c>
      <c r="E32" s="3" t="s">
        <v>326</v>
      </c>
      <c r="F32" s="4" t="b">
        <f aca="false">INDEX(TARA!$D$2:$D$115,MATCH(A32,TARA!$A$2:$A$115,0))</f>
        <v>1</v>
      </c>
      <c r="G32" s="3" t="s">
        <v>327</v>
      </c>
    </row>
    <row r="33" customFormat="false" ht="15" hidden="false" customHeight="false" outlineLevel="0" collapsed="false">
      <c r="A33" s="2" t="s">
        <v>79</v>
      </c>
      <c r="B33" s="3" t="str">
        <f aca="false">INDEX(TARA!$C$2:$C$115,MATCH(A33,TARA!$A$2:$A$115,0))</f>
        <v>LIDAR</v>
      </c>
      <c r="C33" s="3" t="str">
        <f aca="false">INDEX(TARA!$E$2:$E$115,MATCH(A33,TARA!$A$2:$A$115,0))</f>
        <v>Tampering</v>
      </c>
      <c r="D33" s="3" t="s">
        <v>264</v>
      </c>
      <c r="E33" s="3" t="s">
        <v>328</v>
      </c>
      <c r="F33" s="4" t="b">
        <f aca="false">INDEX(TARA!$D$2:$D$115,MATCH(A33,TARA!$A$2:$A$115,0))</f>
        <v>1</v>
      </c>
      <c r="G33" s="3" t="s">
        <v>329</v>
      </c>
    </row>
    <row r="34" customFormat="false" ht="23.85" hidden="false" customHeight="false" outlineLevel="0" collapsed="false">
      <c r="A34" s="2" t="s">
        <v>81</v>
      </c>
      <c r="B34" s="3" t="str">
        <f aca="false">INDEX(TARA!$C$2:$C$115,MATCH(A34,TARA!$A$2:$A$115,0))</f>
        <v>LIDAR</v>
      </c>
      <c r="C34" s="3" t="str">
        <f aca="false">INDEX(TARA!$E$2:$E$115,MATCH(A34,TARA!$A$2:$A$115,0))</f>
        <v>Repudiation</v>
      </c>
      <c r="D34" s="3" t="s">
        <v>267</v>
      </c>
      <c r="E34" s="3" t="s">
        <v>330</v>
      </c>
      <c r="F34" s="4" t="b">
        <f aca="false">INDEX(TARA!$D$2:$D$115,MATCH(A34,TARA!$A$2:$A$115,0))</f>
        <v>0</v>
      </c>
      <c r="G34" s="3" t="s">
        <v>308</v>
      </c>
    </row>
    <row r="35" customFormat="false" ht="23.85" hidden="false" customHeight="false" outlineLevel="0" collapsed="false">
      <c r="A35" s="2" t="s">
        <v>83</v>
      </c>
      <c r="B35" s="3" t="str">
        <f aca="false">INDEX(TARA!$C$2:$C$115,MATCH(A35,TARA!$A$2:$A$115,0))</f>
        <v>LIDAR</v>
      </c>
      <c r="C35" s="3" t="str">
        <f aca="false">INDEX(TARA!$E$2:$E$115,MATCH(A35,TARA!$A$2:$A$115,0))</f>
        <v>Information Disclosure</v>
      </c>
      <c r="D35" s="3" t="s">
        <v>270</v>
      </c>
      <c r="E35" s="3" t="s">
        <v>331</v>
      </c>
      <c r="F35" s="4" t="b">
        <f aca="false">INDEX(TARA!$D$2:$D$115,MATCH(A35,TARA!$A$2:$A$115,0))</f>
        <v>0</v>
      </c>
      <c r="G35" s="3" t="s">
        <v>332</v>
      </c>
    </row>
    <row r="36" customFormat="false" ht="15" hidden="false" customHeight="false" outlineLevel="0" collapsed="false">
      <c r="A36" s="2" t="s">
        <v>85</v>
      </c>
      <c r="B36" s="3" t="str">
        <f aca="false">INDEX(TARA!$C$2:$C$115,MATCH(A36,TARA!$A$2:$A$115,0))</f>
        <v>LIDAR</v>
      </c>
      <c r="C36" s="3" t="str">
        <f aca="false">INDEX(TARA!$E$2:$E$115,MATCH(A36,TARA!$A$2:$A$115,0))</f>
        <v>Denial of Service</v>
      </c>
      <c r="D36" s="3" t="s">
        <v>273</v>
      </c>
      <c r="E36" s="3" t="s">
        <v>333</v>
      </c>
      <c r="F36" s="4" t="b">
        <f aca="false">INDEX(TARA!$D$2:$D$115,MATCH(A36,TARA!$A$2:$A$115,0))</f>
        <v>1</v>
      </c>
      <c r="G36" s="3" t="s">
        <v>334</v>
      </c>
    </row>
    <row r="37" customFormat="false" ht="23.85" hidden="false" customHeight="false" outlineLevel="0" collapsed="false">
      <c r="A37" s="2" t="s">
        <v>87</v>
      </c>
      <c r="B37" s="3" t="str">
        <f aca="false">INDEX(TARA!$C$2:$C$115,MATCH(A37,TARA!$A$2:$A$115,0))</f>
        <v>LIDAR</v>
      </c>
      <c r="C37" s="3" t="str">
        <f aca="false">INDEX(TARA!$E$2:$E$115,MATCH(A37,TARA!$A$2:$A$115,0))</f>
        <v>Elevation of Privilege</v>
      </c>
      <c r="D37" s="3" t="s">
        <v>276</v>
      </c>
      <c r="E37" s="3" t="s">
        <v>335</v>
      </c>
      <c r="F37" s="4" t="b">
        <f aca="false">INDEX(TARA!$D$2:$D$115,MATCH(A37,TARA!$A$2:$A$115,0))</f>
        <v>0</v>
      </c>
      <c r="G37" s="3" t="s">
        <v>336</v>
      </c>
    </row>
    <row r="38" customFormat="false" ht="35.05" hidden="false" customHeight="false" outlineLevel="0" collapsed="false">
      <c r="A38" s="2" t="s">
        <v>89</v>
      </c>
      <c r="B38" s="3" t="str">
        <f aca="false">INDEX(TARA!$C$2:$C$115,MATCH(A38,TARA!$A$2:$A$115,0))</f>
        <v>OBU</v>
      </c>
      <c r="C38" s="3" t="str">
        <f aca="false">INDEX(TARA!$E$2:$E$115,MATCH(A38,TARA!$A$2:$A$115,0))</f>
        <v>Spoofing</v>
      </c>
      <c r="D38" s="3" t="s">
        <v>261</v>
      </c>
      <c r="E38" s="3" t="s">
        <v>337</v>
      </c>
      <c r="F38" s="4" t="b">
        <f aca="false">INDEX(TARA!$D$2:$D$115,MATCH(A38,TARA!$A$2:$A$115,0))</f>
        <v>1</v>
      </c>
      <c r="G38" s="3" t="s">
        <v>338</v>
      </c>
    </row>
    <row r="39" customFormat="false" ht="23.85" hidden="false" customHeight="false" outlineLevel="0" collapsed="false">
      <c r="A39" s="2" t="s">
        <v>92</v>
      </c>
      <c r="B39" s="3" t="str">
        <f aca="false">INDEX(TARA!$C$2:$C$115,MATCH(A39,TARA!$A$2:$A$115,0))</f>
        <v>OBU</v>
      </c>
      <c r="C39" s="3" t="str">
        <f aca="false">INDEX(TARA!$E$2:$E$115,MATCH(A39,TARA!$A$2:$A$115,0))</f>
        <v>Tampering</v>
      </c>
      <c r="D39" s="3" t="s">
        <v>264</v>
      </c>
      <c r="E39" s="3" t="s">
        <v>339</v>
      </c>
      <c r="F39" s="4" t="b">
        <f aca="false">INDEX(TARA!$D$2:$D$115,MATCH(A39,TARA!$A$2:$A$115,0))</f>
        <v>1</v>
      </c>
      <c r="G39" s="3" t="s">
        <v>340</v>
      </c>
    </row>
    <row r="40" customFormat="false" ht="23.85" hidden="false" customHeight="false" outlineLevel="0" collapsed="false">
      <c r="A40" s="2" t="s">
        <v>94</v>
      </c>
      <c r="B40" s="3" t="str">
        <f aca="false">INDEX(TARA!$C$2:$C$115,MATCH(A40,TARA!$A$2:$A$115,0))</f>
        <v>OBU</v>
      </c>
      <c r="C40" s="3" t="str">
        <f aca="false">INDEX(TARA!$E$2:$E$115,MATCH(A40,TARA!$A$2:$A$115,0))</f>
        <v>Repudiation</v>
      </c>
      <c r="D40" s="3" t="s">
        <v>267</v>
      </c>
      <c r="E40" s="3" t="s">
        <v>341</v>
      </c>
      <c r="F40" s="4" t="b">
        <f aca="false">INDEX(TARA!$D$2:$D$115,MATCH(A40,TARA!$A$2:$A$115,0))</f>
        <v>1</v>
      </c>
      <c r="G40" s="3" t="s">
        <v>342</v>
      </c>
    </row>
    <row r="41" customFormat="false" ht="23.85" hidden="false" customHeight="false" outlineLevel="0" collapsed="false">
      <c r="A41" s="2" t="s">
        <v>96</v>
      </c>
      <c r="B41" s="3" t="str">
        <f aca="false">INDEX(TARA!$C$2:$C$115,MATCH(A41,TARA!$A$2:$A$115,0))</f>
        <v>OBU</v>
      </c>
      <c r="C41" s="3" t="str">
        <f aca="false">INDEX(TARA!$E$2:$E$115,MATCH(A41,TARA!$A$2:$A$115,0))</f>
        <v>Information Disclosure</v>
      </c>
      <c r="D41" s="3" t="s">
        <v>270</v>
      </c>
      <c r="E41" s="3" t="s">
        <v>343</v>
      </c>
      <c r="F41" s="4" t="b">
        <f aca="false">INDEX(TARA!$D$2:$D$115,MATCH(A41,TARA!$A$2:$A$115,0))</f>
        <v>1</v>
      </c>
      <c r="G41" s="3" t="s">
        <v>344</v>
      </c>
    </row>
    <row r="42" customFormat="false" ht="23.85" hidden="false" customHeight="false" outlineLevel="0" collapsed="false">
      <c r="A42" s="2" t="s">
        <v>98</v>
      </c>
      <c r="B42" s="3" t="str">
        <f aca="false">INDEX(TARA!$C$2:$C$115,MATCH(A42,TARA!$A$2:$A$115,0))</f>
        <v>OBU</v>
      </c>
      <c r="C42" s="3" t="str">
        <f aca="false">INDEX(TARA!$E$2:$E$115,MATCH(A42,TARA!$A$2:$A$115,0))</f>
        <v>Denial of Service</v>
      </c>
      <c r="D42" s="3" t="s">
        <v>273</v>
      </c>
      <c r="E42" s="3" t="s">
        <v>345</v>
      </c>
      <c r="F42" s="4" t="b">
        <f aca="false">INDEX(TARA!$D$2:$D$115,MATCH(A42,TARA!$A$2:$A$115,0))</f>
        <v>1</v>
      </c>
      <c r="G42" s="3" t="s">
        <v>346</v>
      </c>
    </row>
    <row r="43" customFormat="false" ht="23.85" hidden="false" customHeight="false" outlineLevel="0" collapsed="false">
      <c r="A43" s="2" t="s">
        <v>100</v>
      </c>
      <c r="B43" s="3" t="str">
        <f aca="false">INDEX(TARA!$C$2:$C$115,MATCH(A43,TARA!$A$2:$A$115,0))</f>
        <v>OBU</v>
      </c>
      <c r="C43" s="3" t="str">
        <f aca="false">INDEX(TARA!$E$2:$E$115,MATCH(A43,TARA!$A$2:$A$115,0))</f>
        <v>Elevation of Privilege</v>
      </c>
      <c r="D43" s="3" t="s">
        <v>276</v>
      </c>
      <c r="E43" s="3" t="s">
        <v>347</v>
      </c>
      <c r="F43" s="4" t="b">
        <f aca="false">INDEX(TARA!$D$2:$D$115,MATCH(A43,TARA!$A$2:$A$115,0))</f>
        <v>1</v>
      </c>
      <c r="G43" s="3" t="s">
        <v>348</v>
      </c>
    </row>
    <row r="44" customFormat="false" ht="35.05" hidden="false" customHeight="false" outlineLevel="0" collapsed="false">
      <c r="A44" s="2" t="s">
        <v>102</v>
      </c>
      <c r="B44" s="3" t="str">
        <f aca="false">INDEX(TARA!$C$2:$C$115,MATCH(A44,TARA!$A$2:$A$115,0))</f>
        <v>Brake</v>
      </c>
      <c r="C44" s="3" t="str">
        <f aca="false">INDEX(TARA!$E$2:$E$115,MATCH(A44,TARA!$A$2:$A$115,0))</f>
        <v>Spoofing</v>
      </c>
      <c r="D44" s="3" t="s">
        <v>261</v>
      </c>
      <c r="E44" s="3" t="s">
        <v>349</v>
      </c>
      <c r="F44" s="4" t="b">
        <f aca="false">INDEX(TARA!$D$2:$D$115,MATCH(A44,TARA!$A$2:$A$115,0))</f>
        <v>0</v>
      </c>
      <c r="G44" s="3" t="s">
        <v>350</v>
      </c>
    </row>
    <row r="45" customFormat="false" ht="23.85" hidden="false" customHeight="false" outlineLevel="0" collapsed="false">
      <c r="A45" s="2" t="s">
        <v>105</v>
      </c>
      <c r="B45" s="3" t="str">
        <f aca="false">INDEX(TARA!$C$2:$C$115,MATCH(A45,TARA!$A$2:$A$115,0))</f>
        <v>Brake</v>
      </c>
      <c r="C45" s="3" t="str">
        <f aca="false">INDEX(TARA!$E$2:$E$115,MATCH(A45,TARA!$A$2:$A$115,0))</f>
        <v>Tampering</v>
      </c>
      <c r="D45" s="3" t="s">
        <v>264</v>
      </c>
      <c r="E45" s="3" t="s">
        <v>351</v>
      </c>
      <c r="F45" s="4" t="b">
        <f aca="false">INDEX(TARA!$D$2:$D$115,MATCH(A45,TARA!$A$2:$A$115,0))</f>
        <v>1</v>
      </c>
      <c r="G45" s="3" t="s">
        <v>352</v>
      </c>
    </row>
    <row r="46" customFormat="false" ht="23.85" hidden="false" customHeight="false" outlineLevel="0" collapsed="false">
      <c r="A46" s="2" t="s">
        <v>107</v>
      </c>
      <c r="B46" s="3" t="str">
        <f aca="false">INDEX(TARA!$C$2:$C$115,MATCH(A46,TARA!$A$2:$A$115,0))</f>
        <v>Brake</v>
      </c>
      <c r="C46" s="3" t="str">
        <f aca="false">INDEX(TARA!$E$2:$E$115,MATCH(A46,TARA!$A$2:$A$115,0))</f>
        <v>Repudiation</v>
      </c>
      <c r="D46" s="3" t="s">
        <v>267</v>
      </c>
      <c r="E46" s="3" t="s">
        <v>353</v>
      </c>
      <c r="F46" s="4" t="b">
        <f aca="false">INDEX(TARA!$D$2:$D$115,MATCH(A46,TARA!$A$2:$A$115,0))</f>
        <v>0</v>
      </c>
      <c r="G46" s="3" t="s">
        <v>354</v>
      </c>
    </row>
    <row r="47" customFormat="false" ht="15" hidden="false" customHeight="false" outlineLevel="0" collapsed="false">
      <c r="A47" s="2" t="s">
        <v>109</v>
      </c>
      <c r="B47" s="3" t="str">
        <f aca="false">INDEX(TARA!$C$2:$C$115,MATCH(A47,TARA!$A$2:$A$115,0))</f>
        <v>Brake</v>
      </c>
      <c r="C47" s="3" t="str">
        <f aca="false">INDEX(TARA!$E$2:$E$115,MATCH(A47,TARA!$A$2:$A$115,0))</f>
        <v>Information Disclosure</v>
      </c>
      <c r="D47" s="3" t="s">
        <v>270</v>
      </c>
      <c r="E47" s="3" t="s">
        <v>355</v>
      </c>
      <c r="F47" s="4" t="b">
        <f aca="false">INDEX(TARA!$D$2:$D$115,MATCH(A47,TARA!$A$2:$A$115,0))</f>
        <v>0</v>
      </c>
      <c r="G47" s="3" t="s">
        <v>356</v>
      </c>
    </row>
    <row r="48" customFormat="false" ht="15" hidden="false" customHeight="false" outlineLevel="0" collapsed="false">
      <c r="A48" s="2" t="s">
        <v>111</v>
      </c>
      <c r="B48" s="3" t="str">
        <f aca="false">INDEX(TARA!$C$2:$C$115,MATCH(A48,TARA!$A$2:$A$115,0))</f>
        <v>Brake</v>
      </c>
      <c r="C48" s="3" t="str">
        <f aca="false">INDEX(TARA!$E$2:$E$115,MATCH(A48,TARA!$A$2:$A$115,0))</f>
        <v>Denial of Service</v>
      </c>
      <c r="D48" s="3" t="s">
        <v>273</v>
      </c>
      <c r="E48" s="3" t="s">
        <v>357</v>
      </c>
      <c r="F48" s="4" t="b">
        <f aca="false">INDEX(TARA!$D$2:$D$115,MATCH(A48,TARA!$A$2:$A$115,0))</f>
        <v>1</v>
      </c>
      <c r="G48" s="3" t="s">
        <v>358</v>
      </c>
    </row>
    <row r="49" customFormat="false" ht="23.85" hidden="false" customHeight="false" outlineLevel="0" collapsed="false">
      <c r="A49" s="2" t="s">
        <v>113</v>
      </c>
      <c r="B49" s="3" t="str">
        <f aca="false">INDEX(TARA!$C$2:$C$115,MATCH(A49,TARA!$A$2:$A$115,0))</f>
        <v>Brake</v>
      </c>
      <c r="C49" s="3" t="str">
        <f aca="false">INDEX(TARA!$E$2:$E$115,MATCH(A49,TARA!$A$2:$A$115,0))</f>
        <v>Elevation of Privilege</v>
      </c>
      <c r="D49" s="3" t="s">
        <v>276</v>
      </c>
      <c r="E49" s="3" t="s">
        <v>359</v>
      </c>
      <c r="F49" s="4" t="b">
        <f aca="false">INDEX(TARA!$D$2:$D$115,MATCH(A49,TARA!$A$2:$A$115,0))</f>
        <v>0</v>
      </c>
      <c r="G49" s="3" t="s">
        <v>360</v>
      </c>
    </row>
    <row r="50" customFormat="false" ht="35.05" hidden="false" customHeight="false" outlineLevel="0" collapsed="false">
      <c r="A50" s="2" t="s">
        <v>115</v>
      </c>
      <c r="B50" s="3" t="str">
        <f aca="false">INDEX(TARA!$C$2:$C$115,MATCH(A50,TARA!$A$2:$A$115,0))</f>
        <v>Throttle</v>
      </c>
      <c r="C50" s="3" t="str">
        <f aca="false">INDEX(TARA!$E$2:$E$115,MATCH(A50,TARA!$A$2:$A$115,0))</f>
        <v>Spoofing</v>
      </c>
      <c r="D50" s="3" t="s">
        <v>261</v>
      </c>
      <c r="E50" s="3" t="s">
        <v>361</v>
      </c>
      <c r="F50" s="4" t="b">
        <f aca="false">INDEX(TARA!$D$2:$D$115,MATCH(A50,TARA!$A$2:$A$115,0))</f>
        <v>0</v>
      </c>
      <c r="G50" s="3" t="s">
        <v>362</v>
      </c>
    </row>
    <row r="51" customFormat="false" ht="23.85" hidden="false" customHeight="false" outlineLevel="0" collapsed="false">
      <c r="A51" s="2" t="s">
        <v>118</v>
      </c>
      <c r="B51" s="3" t="str">
        <f aca="false">INDEX(TARA!$C$2:$C$115,MATCH(A51,TARA!$A$2:$A$115,0))</f>
        <v>Throttle</v>
      </c>
      <c r="C51" s="3" t="str">
        <f aca="false">INDEX(TARA!$E$2:$E$115,MATCH(A51,TARA!$A$2:$A$115,0))</f>
        <v>Tampering</v>
      </c>
      <c r="D51" s="3" t="s">
        <v>264</v>
      </c>
      <c r="E51" s="3" t="s">
        <v>363</v>
      </c>
      <c r="F51" s="4" t="b">
        <f aca="false">INDEX(TARA!$D$2:$D$115,MATCH(A51,TARA!$A$2:$A$115,0))</f>
        <v>1</v>
      </c>
      <c r="G51" s="3" t="s">
        <v>364</v>
      </c>
    </row>
    <row r="52" customFormat="false" ht="23.85" hidden="false" customHeight="false" outlineLevel="0" collapsed="false">
      <c r="A52" s="2" t="s">
        <v>120</v>
      </c>
      <c r="B52" s="3" t="str">
        <f aca="false">INDEX(TARA!$C$2:$C$115,MATCH(A52,TARA!$A$2:$A$115,0))</f>
        <v>Throttle</v>
      </c>
      <c r="C52" s="3" t="str">
        <f aca="false">INDEX(TARA!$E$2:$E$115,MATCH(A52,TARA!$A$2:$A$115,0))</f>
        <v>Repudiation</v>
      </c>
      <c r="D52" s="3" t="s">
        <v>267</v>
      </c>
      <c r="E52" s="3" t="s">
        <v>365</v>
      </c>
      <c r="F52" s="4" t="b">
        <f aca="false">INDEX(TARA!$D$2:$D$115,MATCH(A52,TARA!$A$2:$A$115,0))</f>
        <v>0</v>
      </c>
      <c r="G52" s="3" t="s">
        <v>354</v>
      </c>
    </row>
    <row r="53" customFormat="false" ht="15" hidden="false" customHeight="false" outlineLevel="0" collapsed="false">
      <c r="A53" s="2" t="s">
        <v>122</v>
      </c>
      <c r="B53" s="3" t="str">
        <f aca="false">INDEX(TARA!$C$2:$C$115,MATCH(A53,TARA!$A$2:$A$115,0))</f>
        <v>Throttle</v>
      </c>
      <c r="C53" s="3" t="str">
        <f aca="false">INDEX(TARA!$E$2:$E$115,MATCH(A53,TARA!$A$2:$A$115,0))</f>
        <v>Information Disclosure</v>
      </c>
      <c r="D53" s="3" t="s">
        <v>270</v>
      </c>
      <c r="E53" s="3" t="s">
        <v>366</v>
      </c>
      <c r="F53" s="4" t="b">
        <f aca="false">INDEX(TARA!$D$2:$D$115,MATCH(A53,TARA!$A$2:$A$115,0))</f>
        <v>0</v>
      </c>
      <c r="G53" s="3" t="s">
        <v>356</v>
      </c>
    </row>
    <row r="54" customFormat="false" ht="15" hidden="false" customHeight="false" outlineLevel="0" collapsed="false">
      <c r="A54" s="2" t="s">
        <v>124</v>
      </c>
      <c r="B54" s="3" t="str">
        <f aca="false">INDEX(TARA!$C$2:$C$115,MATCH(A54,TARA!$A$2:$A$115,0))</f>
        <v>Throttle</v>
      </c>
      <c r="C54" s="3" t="str">
        <f aca="false">INDEX(TARA!$E$2:$E$115,MATCH(A54,TARA!$A$2:$A$115,0))</f>
        <v>Denial of Service</v>
      </c>
      <c r="D54" s="3" t="s">
        <v>273</v>
      </c>
      <c r="E54" s="3" t="s">
        <v>367</v>
      </c>
      <c r="F54" s="4" t="b">
        <f aca="false">INDEX(TARA!$D$2:$D$115,MATCH(A54,TARA!$A$2:$A$115,0))</f>
        <v>1</v>
      </c>
      <c r="G54" s="3" t="s">
        <v>368</v>
      </c>
    </row>
    <row r="55" customFormat="false" ht="23.85" hidden="false" customHeight="false" outlineLevel="0" collapsed="false">
      <c r="A55" s="2" t="s">
        <v>126</v>
      </c>
      <c r="B55" s="3" t="str">
        <f aca="false">INDEX(TARA!$C$2:$C$115,MATCH(A55,TARA!$A$2:$A$115,0))</f>
        <v>Throttle</v>
      </c>
      <c r="C55" s="3" t="str">
        <f aca="false">INDEX(TARA!$E$2:$E$115,MATCH(A55,TARA!$A$2:$A$115,0))</f>
        <v>Elevation of Privilege</v>
      </c>
      <c r="D55" s="3" t="s">
        <v>276</v>
      </c>
      <c r="E55" s="3" t="s">
        <v>359</v>
      </c>
      <c r="F55" s="4" t="b">
        <f aca="false">INDEX(TARA!$D$2:$D$115,MATCH(A55,TARA!$A$2:$A$115,0))</f>
        <v>0</v>
      </c>
      <c r="G55" s="3" t="s">
        <v>369</v>
      </c>
    </row>
    <row r="56" customFormat="false" ht="35.05" hidden="false" customHeight="false" outlineLevel="0" collapsed="false">
      <c r="A56" s="2" t="s">
        <v>128</v>
      </c>
      <c r="B56" s="3" t="str">
        <f aca="false">INDEX(TARA!$C$2:$C$115,MATCH(A56,TARA!$A$2:$A$115,0))</f>
        <v>AEB</v>
      </c>
      <c r="C56" s="3" t="str">
        <f aca="false">INDEX(TARA!$E$2:$E$115,MATCH(A56,TARA!$A$2:$A$115,0))</f>
        <v>Spoofing</v>
      </c>
      <c r="D56" s="3" t="s">
        <v>261</v>
      </c>
      <c r="E56" s="3" t="s">
        <v>370</v>
      </c>
      <c r="F56" s="4" t="b">
        <f aca="false">INDEX(TARA!$D$2:$D$115,MATCH(A56,TARA!$A$2:$A$115,0))</f>
        <v>0</v>
      </c>
      <c r="G56" s="3" t="s">
        <v>371</v>
      </c>
    </row>
    <row r="57" customFormat="false" ht="23.85" hidden="false" customHeight="false" outlineLevel="0" collapsed="false">
      <c r="A57" s="2" t="s">
        <v>131</v>
      </c>
      <c r="B57" s="3" t="str">
        <f aca="false">INDEX(TARA!$C$2:$C$115,MATCH(A57,TARA!$A$2:$A$115,0))</f>
        <v>AEB</v>
      </c>
      <c r="C57" s="3" t="str">
        <f aca="false">INDEX(TARA!$E$2:$E$115,MATCH(A57,TARA!$A$2:$A$115,0))</f>
        <v>Tampering</v>
      </c>
      <c r="D57" s="3" t="s">
        <v>264</v>
      </c>
      <c r="E57" s="3" t="s">
        <v>372</v>
      </c>
      <c r="F57" s="4" t="b">
        <f aca="false">INDEX(TARA!$D$2:$D$115,MATCH(A57,TARA!$A$2:$A$115,0))</f>
        <v>1</v>
      </c>
      <c r="G57" s="3" t="s">
        <v>373</v>
      </c>
    </row>
    <row r="58" customFormat="false" ht="23.85" hidden="false" customHeight="false" outlineLevel="0" collapsed="false">
      <c r="A58" s="2" t="s">
        <v>133</v>
      </c>
      <c r="B58" s="3" t="str">
        <f aca="false">INDEX(TARA!$C$2:$C$115,MATCH(A58,TARA!$A$2:$A$115,0))</f>
        <v>AEB</v>
      </c>
      <c r="C58" s="3" t="str">
        <f aca="false">INDEX(TARA!$E$2:$E$115,MATCH(A58,TARA!$A$2:$A$115,0))</f>
        <v>Repudiation</v>
      </c>
      <c r="D58" s="3" t="s">
        <v>267</v>
      </c>
      <c r="E58" s="3" t="s">
        <v>374</v>
      </c>
      <c r="F58" s="4" t="b">
        <f aca="false">INDEX(TARA!$D$2:$D$115,MATCH(A58,TARA!$A$2:$A$115,0))</f>
        <v>0</v>
      </c>
      <c r="G58" s="3" t="s">
        <v>354</v>
      </c>
    </row>
    <row r="59" customFormat="false" ht="15" hidden="false" customHeight="false" outlineLevel="0" collapsed="false">
      <c r="A59" s="2" t="s">
        <v>135</v>
      </c>
      <c r="B59" s="3" t="str">
        <f aca="false">INDEX(TARA!$C$2:$C$115,MATCH(A59,TARA!$A$2:$A$115,0))</f>
        <v>AEB</v>
      </c>
      <c r="C59" s="3" t="str">
        <f aca="false">INDEX(TARA!$E$2:$E$115,MATCH(A59,TARA!$A$2:$A$115,0))</f>
        <v>Information Disclosure</v>
      </c>
      <c r="D59" s="3" t="s">
        <v>270</v>
      </c>
      <c r="E59" s="3" t="s">
        <v>375</v>
      </c>
      <c r="F59" s="4" t="b">
        <f aca="false">INDEX(TARA!$D$2:$D$115,MATCH(A59,TARA!$A$2:$A$115,0))</f>
        <v>0</v>
      </c>
      <c r="G59" s="3" t="s">
        <v>376</v>
      </c>
    </row>
    <row r="60" customFormat="false" ht="15" hidden="false" customHeight="false" outlineLevel="0" collapsed="false">
      <c r="A60" s="2" t="s">
        <v>137</v>
      </c>
      <c r="B60" s="3" t="str">
        <f aca="false">INDEX(TARA!$C$2:$C$115,MATCH(A60,TARA!$A$2:$A$115,0))</f>
        <v>AEB</v>
      </c>
      <c r="C60" s="3" t="str">
        <f aca="false">INDEX(TARA!$E$2:$E$115,MATCH(A60,TARA!$A$2:$A$115,0))</f>
        <v>Denial of Service</v>
      </c>
      <c r="D60" s="3" t="s">
        <v>273</v>
      </c>
      <c r="E60" s="3" t="s">
        <v>377</v>
      </c>
      <c r="F60" s="4" t="b">
        <f aca="false">INDEX(TARA!$D$2:$D$115,MATCH(A60,TARA!$A$2:$A$115,0))</f>
        <v>1</v>
      </c>
      <c r="G60" s="3" t="s">
        <v>378</v>
      </c>
    </row>
    <row r="61" customFormat="false" ht="23.85" hidden="false" customHeight="false" outlineLevel="0" collapsed="false">
      <c r="A61" s="2" t="s">
        <v>139</v>
      </c>
      <c r="B61" s="3" t="str">
        <f aca="false">INDEX(TARA!$C$2:$C$115,MATCH(A61,TARA!$A$2:$A$115,0))</f>
        <v>AEB</v>
      </c>
      <c r="C61" s="3" t="str">
        <f aca="false">INDEX(TARA!$E$2:$E$115,MATCH(A61,TARA!$A$2:$A$115,0))</f>
        <v>Elevation of Privilege</v>
      </c>
      <c r="D61" s="3" t="s">
        <v>276</v>
      </c>
      <c r="E61" s="3" t="s">
        <v>379</v>
      </c>
      <c r="F61" s="4" t="b">
        <f aca="false">INDEX(TARA!$D$2:$D$115,MATCH(A61,TARA!$A$2:$A$115,0))</f>
        <v>0</v>
      </c>
      <c r="G61" s="3" t="s">
        <v>380</v>
      </c>
    </row>
    <row r="62" customFormat="false" ht="23.85" hidden="false" customHeight="false" outlineLevel="0" collapsed="false">
      <c r="A62" s="2" t="s">
        <v>141</v>
      </c>
      <c r="B62" s="3" t="str">
        <f aca="false">INDEX(TARA!$C$2:$C$115,MATCH(A62,TARA!$A$2:$A$115,0))</f>
        <v>Camera → Perception Module (C Out → PM In)</v>
      </c>
      <c r="C62" s="3" t="str">
        <f aca="false">INDEX(TARA!$E$2:$E$115,MATCH(A62,TARA!$A$2:$A$115,0))</f>
        <v>Spoofing</v>
      </c>
      <c r="D62" s="3" t="s">
        <v>261</v>
      </c>
      <c r="E62" s="3" t="s">
        <v>381</v>
      </c>
      <c r="F62" s="4" t="b">
        <f aca="false">INDEX(TARA!$D$2:$D$115,MATCH(A62,TARA!$A$2:$A$115,0))</f>
        <v>1</v>
      </c>
      <c r="G62" s="3" t="s">
        <v>382</v>
      </c>
    </row>
    <row r="63" customFormat="false" ht="23.85" hidden="false" customHeight="false" outlineLevel="0" collapsed="false">
      <c r="A63" s="2" t="s">
        <v>144</v>
      </c>
      <c r="B63" s="3" t="str">
        <f aca="false">INDEX(TARA!$C$2:$C$115,MATCH(A63,TARA!$A$2:$A$115,0))</f>
        <v>Camera → Perception Module (C Out → PM In)</v>
      </c>
      <c r="C63" s="3" t="str">
        <f aca="false">INDEX(TARA!$E$2:$E$115,MATCH(A63,TARA!$A$2:$A$115,0))</f>
        <v>Tampering</v>
      </c>
      <c r="D63" s="3" t="s">
        <v>264</v>
      </c>
      <c r="E63" s="3" t="s">
        <v>383</v>
      </c>
      <c r="F63" s="4" t="b">
        <f aca="false">INDEX(TARA!$D$2:$D$115,MATCH(A63,TARA!$A$2:$A$115,0))</f>
        <v>1</v>
      </c>
      <c r="G63" s="3" t="s">
        <v>384</v>
      </c>
    </row>
    <row r="64" customFormat="false" ht="23.85" hidden="false" customHeight="false" outlineLevel="0" collapsed="false">
      <c r="A64" s="2" t="s">
        <v>146</v>
      </c>
      <c r="B64" s="3" t="str">
        <f aca="false">INDEX(TARA!$C$2:$C$115,MATCH(A64,TARA!$A$2:$A$115,0))</f>
        <v>Camera → Perception Module (C Out → PM In)</v>
      </c>
      <c r="C64" s="3" t="str">
        <f aca="false">INDEX(TARA!$E$2:$E$115,MATCH(A64,TARA!$A$2:$A$115,0))</f>
        <v>Repudiation</v>
      </c>
      <c r="D64" s="3" t="s">
        <v>267</v>
      </c>
      <c r="E64" s="3" t="s">
        <v>385</v>
      </c>
      <c r="F64" s="4" t="b">
        <f aca="false">INDEX(TARA!$D$2:$D$115,MATCH(A64,TARA!$A$2:$A$115,0))</f>
        <v>0</v>
      </c>
      <c r="G64" s="3" t="s">
        <v>386</v>
      </c>
    </row>
    <row r="65" customFormat="false" ht="23.85" hidden="false" customHeight="false" outlineLevel="0" collapsed="false">
      <c r="A65" s="2" t="s">
        <v>148</v>
      </c>
      <c r="B65" s="3" t="str">
        <f aca="false">INDEX(TARA!$C$2:$C$115,MATCH(A65,TARA!$A$2:$A$115,0))</f>
        <v>Camera → Perception Module (C Out → PM In)</v>
      </c>
      <c r="C65" s="3" t="str">
        <f aca="false">INDEX(TARA!$E$2:$E$115,MATCH(A65,TARA!$A$2:$A$115,0))</f>
        <v>Information Disclosure</v>
      </c>
      <c r="D65" s="3" t="s">
        <v>270</v>
      </c>
      <c r="E65" s="3" t="s">
        <v>387</v>
      </c>
      <c r="F65" s="4" t="b">
        <f aca="false">INDEX(TARA!$D$2:$D$115,MATCH(A65,TARA!$A$2:$A$115,0))</f>
        <v>1</v>
      </c>
      <c r="G65" s="3" t="s">
        <v>310</v>
      </c>
    </row>
    <row r="66" customFormat="false" ht="23.85" hidden="false" customHeight="false" outlineLevel="0" collapsed="false">
      <c r="A66" s="2" t="s">
        <v>150</v>
      </c>
      <c r="B66" s="3" t="str">
        <f aca="false">INDEX(TARA!$C$2:$C$115,MATCH(A66,TARA!$A$2:$A$115,0))</f>
        <v>Camera → Perception Module (C Out → PM In)</v>
      </c>
      <c r="C66" s="3" t="str">
        <f aca="false">INDEX(TARA!$E$2:$E$115,MATCH(A66,TARA!$A$2:$A$115,0))</f>
        <v>Denial of Service</v>
      </c>
      <c r="D66" s="3" t="s">
        <v>273</v>
      </c>
      <c r="E66" s="3" t="s">
        <v>388</v>
      </c>
      <c r="F66" s="4" t="b">
        <f aca="false">INDEX(TARA!$D$2:$D$115,MATCH(A66,TARA!$A$2:$A$115,0))</f>
        <v>1</v>
      </c>
      <c r="G66" s="3" t="s">
        <v>389</v>
      </c>
    </row>
    <row r="67" customFormat="false" ht="23.85" hidden="false" customHeight="false" outlineLevel="0" collapsed="false">
      <c r="A67" s="2" t="s">
        <v>152</v>
      </c>
      <c r="B67" s="3" t="str">
        <f aca="false">INDEX(TARA!$C$2:$C$115,MATCH(A67,TARA!$A$2:$A$115,0))</f>
        <v>Camera → Perception Module (C Out → PM In)</v>
      </c>
      <c r="C67" s="3" t="str">
        <f aca="false">INDEX(TARA!$E$2:$E$115,MATCH(A67,TARA!$A$2:$A$115,0))</f>
        <v>Elevation of Privilege</v>
      </c>
      <c r="D67" s="3" t="s">
        <v>276</v>
      </c>
      <c r="E67" s="3" t="s">
        <v>390</v>
      </c>
      <c r="F67" s="4" t="b">
        <f aca="false">INDEX(TARA!$D$2:$D$115,MATCH(A67,TARA!$A$2:$A$115,0))</f>
        <v>0</v>
      </c>
      <c r="G67" s="3" t="s">
        <v>391</v>
      </c>
    </row>
    <row r="68" customFormat="false" ht="23.85" hidden="false" customHeight="false" outlineLevel="0" collapsed="false">
      <c r="A68" s="2" t="s">
        <v>154</v>
      </c>
      <c r="B68" s="3" t="str">
        <f aca="false">INDEX(TARA!$C$2:$C$115,MATCH(A68,TARA!$A$2:$A$115,0))</f>
        <v>Radar → Perception Module (R Out → PM In)</v>
      </c>
      <c r="C68" s="3" t="str">
        <f aca="false">INDEX(TARA!$E$2:$E$115,MATCH(A68,TARA!$A$2:$A$115,0))</f>
        <v>Spoofing</v>
      </c>
      <c r="D68" s="3" t="s">
        <v>261</v>
      </c>
      <c r="E68" s="3" t="s">
        <v>392</v>
      </c>
      <c r="F68" s="4" t="b">
        <f aca="false">INDEX(TARA!$D$2:$D$115,MATCH(A68,TARA!$A$2:$A$115,0))</f>
        <v>1</v>
      </c>
      <c r="G68" s="3" t="s">
        <v>393</v>
      </c>
    </row>
    <row r="69" customFormat="false" ht="15" hidden="false" customHeight="false" outlineLevel="0" collapsed="false">
      <c r="A69" s="2" t="s">
        <v>157</v>
      </c>
      <c r="B69" s="3" t="str">
        <f aca="false">INDEX(TARA!$C$2:$C$115,MATCH(A69,TARA!$A$2:$A$115,0))</f>
        <v>Radar → Perception Module (R Out → PM In)</v>
      </c>
      <c r="C69" s="3" t="str">
        <f aca="false">INDEX(TARA!$E$2:$E$115,MATCH(A69,TARA!$A$2:$A$115,0))</f>
        <v>Tampering</v>
      </c>
      <c r="D69" s="3" t="s">
        <v>264</v>
      </c>
      <c r="E69" s="3" t="s">
        <v>394</v>
      </c>
      <c r="F69" s="4" t="b">
        <f aca="false">INDEX(TARA!$D$2:$D$115,MATCH(A69,TARA!$A$2:$A$115,0))</f>
        <v>1</v>
      </c>
      <c r="G69" s="3" t="s">
        <v>395</v>
      </c>
    </row>
    <row r="70" customFormat="false" ht="23.85" hidden="false" customHeight="false" outlineLevel="0" collapsed="false">
      <c r="A70" s="2" t="s">
        <v>159</v>
      </c>
      <c r="B70" s="3" t="str">
        <f aca="false">INDEX(TARA!$C$2:$C$115,MATCH(A70,TARA!$A$2:$A$115,0))</f>
        <v>Radar → Perception Module (R Out → PM In)</v>
      </c>
      <c r="C70" s="3" t="str">
        <f aca="false">INDEX(TARA!$E$2:$E$115,MATCH(A70,TARA!$A$2:$A$115,0))</f>
        <v>Repudiation</v>
      </c>
      <c r="D70" s="3" t="s">
        <v>267</v>
      </c>
      <c r="E70" s="3" t="s">
        <v>385</v>
      </c>
      <c r="F70" s="4" t="b">
        <f aca="false">INDEX(TARA!$D$2:$D$115,MATCH(A70,TARA!$A$2:$A$115,0))</f>
        <v>0</v>
      </c>
      <c r="G70" s="3" t="s">
        <v>386</v>
      </c>
    </row>
    <row r="71" customFormat="false" ht="23.85" hidden="false" customHeight="false" outlineLevel="0" collapsed="false">
      <c r="A71" s="2" t="s">
        <v>161</v>
      </c>
      <c r="B71" s="3" t="str">
        <f aca="false">INDEX(TARA!$C$2:$C$115,MATCH(A71,TARA!$A$2:$A$115,0))</f>
        <v>Radar → Perception Module (R Out → PM In)</v>
      </c>
      <c r="C71" s="3" t="str">
        <f aca="false">INDEX(TARA!$E$2:$E$115,MATCH(A71,TARA!$A$2:$A$115,0))</f>
        <v>Information Disclosure</v>
      </c>
      <c r="D71" s="3" t="s">
        <v>270</v>
      </c>
      <c r="E71" s="3" t="s">
        <v>396</v>
      </c>
      <c r="F71" s="4" t="b">
        <f aca="false">INDEX(TARA!$D$2:$D$115,MATCH(A71,TARA!$A$2:$A$115,0))</f>
        <v>0</v>
      </c>
      <c r="G71" s="3" t="s">
        <v>321</v>
      </c>
    </row>
    <row r="72" customFormat="false" ht="15" hidden="false" customHeight="false" outlineLevel="0" collapsed="false">
      <c r="A72" s="2" t="s">
        <v>163</v>
      </c>
      <c r="B72" s="3" t="str">
        <f aca="false">INDEX(TARA!$C$2:$C$115,MATCH(A72,TARA!$A$2:$A$115,0))</f>
        <v>Radar → Perception Module (R Out → PM In)</v>
      </c>
      <c r="C72" s="3" t="str">
        <f aca="false">INDEX(TARA!$E$2:$E$115,MATCH(A72,TARA!$A$2:$A$115,0))</f>
        <v>Denial of Service</v>
      </c>
      <c r="D72" s="3" t="s">
        <v>273</v>
      </c>
      <c r="E72" s="3" t="s">
        <v>397</v>
      </c>
      <c r="F72" s="4" t="b">
        <f aca="false">INDEX(TARA!$D$2:$D$115,MATCH(A72,TARA!$A$2:$A$115,0))</f>
        <v>1</v>
      </c>
      <c r="G72" s="3" t="s">
        <v>398</v>
      </c>
    </row>
    <row r="73" customFormat="false" ht="23.85" hidden="false" customHeight="false" outlineLevel="0" collapsed="false">
      <c r="A73" s="2" t="s">
        <v>165</v>
      </c>
      <c r="B73" s="3" t="str">
        <f aca="false">INDEX(TARA!$C$2:$C$115,MATCH(A73,TARA!$A$2:$A$115,0))</f>
        <v>Radar → Perception Module (R Out → PM In)</v>
      </c>
      <c r="C73" s="3" t="str">
        <f aca="false">INDEX(TARA!$E$2:$E$115,MATCH(A73,TARA!$A$2:$A$115,0))</f>
        <v>Elevation of Privilege</v>
      </c>
      <c r="D73" s="3" t="s">
        <v>276</v>
      </c>
      <c r="E73" s="3" t="s">
        <v>390</v>
      </c>
      <c r="F73" s="4" t="b">
        <f aca="false">INDEX(TARA!$D$2:$D$115,MATCH(A73,TARA!$A$2:$A$115,0))</f>
        <v>0</v>
      </c>
      <c r="G73" s="3" t="s">
        <v>391</v>
      </c>
    </row>
    <row r="74" customFormat="false" ht="15" hidden="false" customHeight="false" outlineLevel="0" collapsed="false">
      <c r="A74" s="2" t="s">
        <v>167</v>
      </c>
      <c r="B74" s="3" t="str">
        <f aca="false">INDEX(TARA!$C$2:$C$115,MATCH(A74,TARA!$A$2:$A$115,0))</f>
        <v>LIDAR → Perception Module (L Out → PM In)</v>
      </c>
      <c r="C74" s="3" t="str">
        <f aca="false">INDEX(TARA!$E$2:$E$115,MATCH(A74,TARA!$A$2:$A$115,0))</f>
        <v>Spoofing</v>
      </c>
      <c r="D74" s="3" t="s">
        <v>261</v>
      </c>
      <c r="E74" s="3" t="s">
        <v>399</v>
      </c>
      <c r="F74" s="4" t="b">
        <f aca="false">INDEX(TARA!$D$2:$D$115,MATCH(A74,TARA!$A$2:$A$115,0))</f>
        <v>1</v>
      </c>
      <c r="G74" s="3" t="s">
        <v>400</v>
      </c>
    </row>
    <row r="75" customFormat="false" ht="15" hidden="false" customHeight="false" outlineLevel="0" collapsed="false">
      <c r="A75" s="2" t="s">
        <v>170</v>
      </c>
      <c r="B75" s="3" t="str">
        <f aca="false">INDEX(TARA!$C$2:$C$115,MATCH(A75,TARA!$A$2:$A$115,0))</f>
        <v>LIDAR → Perception Module (L Out → PM In)</v>
      </c>
      <c r="C75" s="3" t="str">
        <f aca="false">INDEX(TARA!$E$2:$E$115,MATCH(A75,TARA!$A$2:$A$115,0))</f>
        <v>Tampering</v>
      </c>
      <c r="D75" s="3" t="s">
        <v>264</v>
      </c>
      <c r="E75" s="3" t="s">
        <v>401</v>
      </c>
      <c r="F75" s="4" t="b">
        <f aca="false">INDEX(TARA!$D$2:$D$115,MATCH(A75,TARA!$A$2:$A$115,0))</f>
        <v>1</v>
      </c>
      <c r="G75" s="3" t="s">
        <v>329</v>
      </c>
    </row>
    <row r="76" customFormat="false" ht="23.85" hidden="false" customHeight="false" outlineLevel="0" collapsed="false">
      <c r="A76" s="2" t="s">
        <v>172</v>
      </c>
      <c r="B76" s="3" t="str">
        <f aca="false">INDEX(TARA!$C$2:$C$115,MATCH(A76,TARA!$A$2:$A$115,0))</f>
        <v>LIDAR → Perception Module (L Out → PM In)</v>
      </c>
      <c r="C76" s="3" t="str">
        <f aca="false">INDEX(TARA!$E$2:$E$115,MATCH(A76,TARA!$A$2:$A$115,0))</f>
        <v>Repudiation</v>
      </c>
      <c r="D76" s="3" t="s">
        <v>267</v>
      </c>
      <c r="E76" s="3" t="s">
        <v>385</v>
      </c>
      <c r="F76" s="4" t="b">
        <f aca="false">INDEX(TARA!$D$2:$D$115,MATCH(A76,TARA!$A$2:$A$115,0))</f>
        <v>0</v>
      </c>
      <c r="G76" s="3" t="s">
        <v>386</v>
      </c>
    </row>
    <row r="77" customFormat="false" ht="23.85" hidden="false" customHeight="false" outlineLevel="0" collapsed="false">
      <c r="A77" s="2" t="s">
        <v>174</v>
      </c>
      <c r="B77" s="3" t="str">
        <f aca="false">INDEX(TARA!$C$2:$C$115,MATCH(A77,TARA!$A$2:$A$115,0))</f>
        <v>LIDAR → Perception Module (L Out → PM In)</v>
      </c>
      <c r="C77" s="3" t="str">
        <f aca="false">INDEX(TARA!$E$2:$E$115,MATCH(A77,TARA!$A$2:$A$115,0))</f>
        <v>Information Disclosure</v>
      </c>
      <c r="D77" s="3" t="s">
        <v>270</v>
      </c>
      <c r="E77" s="3" t="s">
        <v>402</v>
      </c>
      <c r="F77" s="4" t="b">
        <f aca="false">INDEX(TARA!$D$2:$D$115,MATCH(A77,TARA!$A$2:$A$115,0))</f>
        <v>0</v>
      </c>
      <c r="G77" s="3" t="s">
        <v>332</v>
      </c>
    </row>
    <row r="78" customFormat="false" ht="15" hidden="false" customHeight="false" outlineLevel="0" collapsed="false">
      <c r="A78" s="2" t="s">
        <v>176</v>
      </c>
      <c r="B78" s="3" t="str">
        <f aca="false">INDEX(TARA!$C$2:$C$115,MATCH(A78,TARA!$A$2:$A$115,0))</f>
        <v>LIDAR → Perception Module (L Out → PM In)</v>
      </c>
      <c r="C78" s="3" t="str">
        <f aca="false">INDEX(TARA!$E$2:$E$115,MATCH(A78,TARA!$A$2:$A$115,0))</f>
        <v>Denial of Service</v>
      </c>
      <c r="D78" s="3" t="s">
        <v>273</v>
      </c>
      <c r="E78" s="3" t="s">
        <v>403</v>
      </c>
      <c r="F78" s="4" t="b">
        <f aca="false">INDEX(TARA!$D$2:$D$115,MATCH(A78,TARA!$A$2:$A$115,0))</f>
        <v>1</v>
      </c>
      <c r="G78" s="3" t="s">
        <v>404</v>
      </c>
    </row>
    <row r="79" customFormat="false" ht="23.85" hidden="false" customHeight="false" outlineLevel="0" collapsed="false">
      <c r="A79" s="2" t="s">
        <v>178</v>
      </c>
      <c r="B79" s="3" t="str">
        <f aca="false">INDEX(TARA!$C$2:$C$115,MATCH(A79,TARA!$A$2:$A$115,0))</f>
        <v>LIDAR → Perception Module (L Out → PM In)</v>
      </c>
      <c r="C79" s="3" t="str">
        <f aca="false">INDEX(TARA!$E$2:$E$115,MATCH(A79,TARA!$A$2:$A$115,0))</f>
        <v>Elevation of Privilege</v>
      </c>
      <c r="D79" s="3" t="s">
        <v>276</v>
      </c>
      <c r="E79" s="3" t="s">
        <v>390</v>
      </c>
      <c r="F79" s="4" t="b">
        <f aca="false">INDEX(TARA!$D$2:$D$115,MATCH(A79,TARA!$A$2:$A$115,0))</f>
        <v>0</v>
      </c>
      <c r="G79" s="3" t="s">
        <v>391</v>
      </c>
    </row>
    <row r="80" customFormat="false" ht="23.85" hidden="false" customHeight="false" outlineLevel="0" collapsed="false">
      <c r="A80" s="2" t="s">
        <v>180</v>
      </c>
      <c r="B80" s="3" t="str">
        <f aca="false">INDEX(TARA!$C$2:$C$115,MATCH(A80,TARA!$A$2:$A$115,0))</f>
        <v>OBU → Perception Module (OBU Out → PM In)</v>
      </c>
      <c r="C80" s="3" t="str">
        <f aca="false">INDEX(TARA!$E$2:$E$115,MATCH(A80,TARA!$A$2:$A$115,0))</f>
        <v>Spoofing</v>
      </c>
      <c r="D80" s="3" t="s">
        <v>261</v>
      </c>
      <c r="E80" s="3" t="s">
        <v>405</v>
      </c>
      <c r="F80" s="4" t="b">
        <f aca="false">INDEX(TARA!$D$2:$D$115,MATCH(A80,TARA!$A$2:$A$115,0))</f>
        <v>1</v>
      </c>
      <c r="G80" s="3" t="s">
        <v>406</v>
      </c>
    </row>
    <row r="81" customFormat="false" ht="23.85" hidden="false" customHeight="false" outlineLevel="0" collapsed="false">
      <c r="A81" s="2" t="s">
        <v>183</v>
      </c>
      <c r="B81" s="3" t="str">
        <f aca="false">INDEX(TARA!$C$2:$C$115,MATCH(A81,TARA!$A$2:$A$115,0))</f>
        <v>OBU → Perception Module (OBU Out → PM In)</v>
      </c>
      <c r="C81" s="3" t="str">
        <f aca="false">INDEX(TARA!$E$2:$E$115,MATCH(A81,TARA!$A$2:$A$115,0))</f>
        <v>Tampering</v>
      </c>
      <c r="D81" s="3" t="s">
        <v>264</v>
      </c>
      <c r="E81" s="3" t="s">
        <v>407</v>
      </c>
      <c r="F81" s="4" t="b">
        <f aca="false">INDEX(TARA!$D$2:$D$115,MATCH(A81,TARA!$A$2:$A$115,0))</f>
        <v>1</v>
      </c>
      <c r="G81" s="3" t="s">
        <v>408</v>
      </c>
    </row>
    <row r="82" customFormat="false" ht="23.85" hidden="false" customHeight="false" outlineLevel="0" collapsed="false">
      <c r="A82" s="2" t="s">
        <v>185</v>
      </c>
      <c r="B82" s="3" t="str">
        <f aca="false">INDEX(TARA!$C$2:$C$115,MATCH(A82,TARA!$A$2:$A$115,0))</f>
        <v>OBU → Perception Module (OBU Out → PM In)</v>
      </c>
      <c r="C82" s="3" t="str">
        <f aca="false">INDEX(TARA!$E$2:$E$115,MATCH(A82,TARA!$A$2:$A$115,0))</f>
        <v>Repudiation</v>
      </c>
      <c r="D82" s="3" t="s">
        <v>267</v>
      </c>
      <c r="E82" s="3" t="s">
        <v>385</v>
      </c>
      <c r="F82" s="4" t="b">
        <f aca="false">INDEX(TARA!$D$2:$D$115,MATCH(A82,TARA!$A$2:$A$115,0))</f>
        <v>0</v>
      </c>
      <c r="G82" s="3" t="s">
        <v>386</v>
      </c>
    </row>
    <row r="83" customFormat="false" ht="23.85" hidden="false" customHeight="false" outlineLevel="0" collapsed="false">
      <c r="A83" s="2" t="s">
        <v>187</v>
      </c>
      <c r="B83" s="3" t="str">
        <f aca="false">INDEX(TARA!$C$2:$C$115,MATCH(A83,TARA!$A$2:$A$115,0))</f>
        <v>OBU → Perception Module (OBU Out → PM In)</v>
      </c>
      <c r="C83" s="3" t="str">
        <f aca="false">INDEX(TARA!$E$2:$E$115,MATCH(A83,TARA!$A$2:$A$115,0))</f>
        <v>Information Disclosure</v>
      </c>
      <c r="D83" s="3" t="s">
        <v>270</v>
      </c>
      <c r="E83" s="3" t="s">
        <v>409</v>
      </c>
      <c r="F83" s="4" t="b">
        <f aca="false">INDEX(TARA!$D$2:$D$115,MATCH(A83,TARA!$A$2:$A$115,0))</f>
        <v>1</v>
      </c>
      <c r="G83" s="3" t="s">
        <v>410</v>
      </c>
    </row>
    <row r="84" customFormat="false" ht="23.85" hidden="false" customHeight="false" outlineLevel="0" collapsed="false">
      <c r="A84" s="2" t="s">
        <v>189</v>
      </c>
      <c r="B84" s="3" t="str">
        <f aca="false">INDEX(TARA!$C$2:$C$115,MATCH(A84,TARA!$A$2:$A$115,0))</f>
        <v>OBU → Perception Module (OBU Out → PM In)</v>
      </c>
      <c r="C84" s="3" t="str">
        <f aca="false">INDEX(TARA!$E$2:$E$115,MATCH(A84,TARA!$A$2:$A$115,0))</f>
        <v>Denial of Service</v>
      </c>
      <c r="D84" s="3" t="s">
        <v>273</v>
      </c>
      <c r="E84" s="3" t="s">
        <v>411</v>
      </c>
      <c r="F84" s="4" t="b">
        <f aca="false">INDEX(TARA!$D$2:$D$115,MATCH(A84,TARA!$A$2:$A$115,0))</f>
        <v>1</v>
      </c>
      <c r="G84" s="3" t="s">
        <v>412</v>
      </c>
    </row>
    <row r="85" customFormat="false" ht="23.85" hidden="false" customHeight="false" outlineLevel="0" collapsed="false">
      <c r="A85" s="2" t="s">
        <v>191</v>
      </c>
      <c r="B85" s="3" t="str">
        <f aca="false">INDEX(TARA!$C$2:$C$115,MATCH(A85,TARA!$A$2:$A$115,0))</f>
        <v>OBU → Perception Module (OBU Out → PM In)</v>
      </c>
      <c r="C85" s="3" t="str">
        <f aca="false">INDEX(TARA!$E$2:$E$115,MATCH(A85,TARA!$A$2:$A$115,0))</f>
        <v>Elevation of Privilege</v>
      </c>
      <c r="D85" s="3" t="s">
        <v>276</v>
      </c>
      <c r="E85" s="3" t="s">
        <v>390</v>
      </c>
      <c r="F85" s="4" t="b">
        <f aca="false">INDEX(TARA!$D$2:$D$115,MATCH(A85,TARA!$A$2:$A$115,0))</f>
        <v>0</v>
      </c>
      <c r="G85" s="3" t="s">
        <v>391</v>
      </c>
    </row>
    <row r="86" customFormat="false" ht="23.85" hidden="false" customHeight="false" outlineLevel="0" collapsed="false">
      <c r="A86" s="2" t="s">
        <v>193</v>
      </c>
      <c r="B86" s="3" t="str">
        <f aca="false">INDEX(TARA!$C$2:$C$115,MATCH(A86,TARA!$A$2:$A$115,0))</f>
        <v>Perception Module → AI Controller Module (PM Out → AI In)</v>
      </c>
      <c r="C86" s="3" t="str">
        <f aca="false">INDEX(TARA!$E$2:$E$115,MATCH(A86,TARA!$A$2:$A$115,0))</f>
        <v>Spoofing</v>
      </c>
      <c r="D86" s="3" t="s">
        <v>261</v>
      </c>
      <c r="E86" s="3" t="s">
        <v>413</v>
      </c>
      <c r="F86" s="4" t="b">
        <f aca="false">INDEX(TARA!$D$2:$D$115,MATCH(A86,TARA!$A$2:$A$115,0))</f>
        <v>1</v>
      </c>
      <c r="G86" s="3" t="s">
        <v>414</v>
      </c>
    </row>
    <row r="87" customFormat="false" ht="23.85" hidden="false" customHeight="false" outlineLevel="0" collapsed="false">
      <c r="A87" s="2" t="s">
        <v>196</v>
      </c>
      <c r="B87" s="3" t="str">
        <f aca="false">INDEX(TARA!$C$2:$C$115,MATCH(A87,TARA!$A$2:$A$115,0))</f>
        <v>Perception Module → AI Controller Module (PM Out → AI In)</v>
      </c>
      <c r="C87" s="3" t="str">
        <f aca="false">INDEX(TARA!$E$2:$E$115,MATCH(A87,TARA!$A$2:$A$115,0))</f>
        <v>Tampering</v>
      </c>
      <c r="D87" s="3" t="s">
        <v>264</v>
      </c>
      <c r="E87" s="3" t="s">
        <v>415</v>
      </c>
      <c r="F87" s="4" t="b">
        <f aca="false">INDEX(TARA!$D$2:$D$115,MATCH(A87,TARA!$A$2:$A$115,0))</f>
        <v>1</v>
      </c>
      <c r="G87" s="3" t="s">
        <v>416</v>
      </c>
    </row>
    <row r="88" customFormat="false" ht="23.85" hidden="false" customHeight="false" outlineLevel="0" collapsed="false">
      <c r="A88" s="2" t="s">
        <v>198</v>
      </c>
      <c r="B88" s="3" t="str">
        <f aca="false">INDEX(TARA!$C$2:$C$115,MATCH(A88,TARA!$A$2:$A$115,0))</f>
        <v>Perception Module → AI Controller Module (PM Out → AI In)</v>
      </c>
      <c r="C88" s="3" t="str">
        <f aca="false">INDEX(TARA!$E$2:$E$115,MATCH(A88,TARA!$A$2:$A$115,0))</f>
        <v>Repudiation</v>
      </c>
      <c r="D88" s="3" t="s">
        <v>267</v>
      </c>
      <c r="E88" s="3" t="s">
        <v>385</v>
      </c>
      <c r="F88" s="4" t="b">
        <f aca="false">INDEX(TARA!$D$2:$D$115,MATCH(A88,TARA!$A$2:$A$115,0))</f>
        <v>0</v>
      </c>
      <c r="G88" s="3" t="s">
        <v>386</v>
      </c>
    </row>
    <row r="89" customFormat="false" ht="23.85" hidden="false" customHeight="false" outlineLevel="0" collapsed="false">
      <c r="A89" s="2" t="s">
        <v>200</v>
      </c>
      <c r="B89" s="3" t="str">
        <f aca="false">INDEX(TARA!$C$2:$C$115,MATCH(A89,TARA!$A$2:$A$115,0))</f>
        <v>Perception Module → AI Controller Module (PM Out → AI In)</v>
      </c>
      <c r="C89" s="3" t="str">
        <f aca="false">INDEX(TARA!$E$2:$E$115,MATCH(A89,TARA!$A$2:$A$115,0))</f>
        <v>Information Disclosure</v>
      </c>
      <c r="D89" s="3" t="s">
        <v>270</v>
      </c>
      <c r="E89" s="3" t="s">
        <v>417</v>
      </c>
      <c r="F89" s="4" t="b">
        <f aca="false">INDEX(TARA!$D$2:$D$115,MATCH(A89,TARA!$A$2:$A$115,0))</f>
        <v>0</v>
      </c>
      <c r="G89" s="3" t="s">
        <v>418</v>
      </c>
    </row>
    <row r="90" customFormat="false" ht="23.85" hidden="false" customHeight="false" outlineLevel="0" collapsed="false">
      <c r="A90" s="2" t="s">
        <v>202</v>
      </c>
      <c r="B90" s="3" t="str">
        <f aca="false">INDEX(TARA!$C$2:$C$115,MATCH(A90,TARA!$A$2:$A$115,0))</f>
        <v>Perception Module → AI Controller Module (PM Out → AI In)</v>
      </c>
      <c r="C90" s="3" t="str">
        <f aca="false">INDEX(TARA!$E$2:$E$115,MATCH(A90,TARA!$A$2:$A$115,0))</f>
        <v>Denial of Service</v>
      </c>
      <c r="D90" s="3" t="s">
        <v>273</v>
      </c>
      <c r="E90" s="3" t="s">
        <v>419</v>
      </c>
      <c r="F90" s="4" t="b">
        <f aca="false">INDEX(TARA!$D$2:$D$115,MATCH(A90,TARA!$A$2:$A$115,0))</f>
        <v>1</v>
      </c>
      <c r="G90" s="3" t="s">
        <v>420</v>
      </c>
    </row>
    <row r="91" customFormat="false" ht="23.85" hidden="false" customHeight="false" outlineLevel="0" collapsed="false">
      <c r="A91" s="2" t="s">
        <v>204</v>
      </c>
      <c r="B91" s="3" t="str">
        <f aca="false">INDEX(TARA!$C$2:$C$115,MATCH(A91,TARA!$A$2:$A$115,0))</f>
        <v>Perception Module → AI Controller Module (PM Out → AI In)</v>
      </c>
      <c r="C91" s="3" t="str">
        <f aca="false">INDEX(TARA!$E$2:$E$115,MATCH(A91,TARA!$A$2:$A$115,0))</f>
        <v>Elevation of Privilege</v>
      </c>
      <c r="D91" s="3" t="s">
        <v>276</v>
      </c>
      <c r="E91" s="3" t="s">
        <v>390</v>
      </c>
      <c r="F91" s="4" t="b">
        <f aca="false">INDEX(TARA!$D$2:$D$115,MATCH(A91,TARA!$A$2:$A$115,0))</f>
        <v>0</v>
      </c>
      <c r="G91" s="3" t="s">
        <v>391</v>
      </c>
    </row>
    <row r="92" customFormat="false" ht="23.85" hidden="false" customHeight="false" outlineLevel="0" collapsed="false">
      <c r="A92" s="2" t="s">
        <v>206</v>
      </c>
      <c r="B92" s="3" t="str">
        <f aca="false">INDEX(TARA!$C$2:$C$115,MATCH(A92,TARA!$A$2:$A$115,0))</f>
        <v>AI Controller Module → Actuation Module (AI Out → AM In)</v>
      </c>
      <c r="C92" s="3" t="str">
        <f aca="false">INDEX(TARA!$E$2:$E$115,MATCH(A92,TARA!$A$2:$A$115,0))</f>
        <v>Spoofing</v>
      </c>
      <c r="D92" s="3" t="s">
        <v>261</v>
      </c>
      <c r="E92" s="3" t="s">
        <v>421</v>
      </c>
      <c r="F92" s="4" t="b">
        <f aca="false">INDEX(TARA!$D$2:$D$115,MATCH(A92,TARA!$A$2:$A$115,0))</f>
        <v>1</v>
      </c>
      <c r="G92" s="3" t="s">
        <v>422</v>
      </c>
    </row>
    <row r="93" customFormat="false" ht="23.85" hidden="false" customHeight="false" outlineLevel="0" collapsed="false">
      <c r="A93" s="2" t="s">
        <v>209</v>
      </c>
      <c r="B93" s="3" t="str">
        <f aca="false">INDEX(TARA!$C$2:$C$115,MATCH(A93,TARA!$A$2:$A$115,0))</f>
        <v>AI Controller Module → Actuation Module (AI Out → AM In)</v>
      </c>
      <c r="C93" s="3" t="str">
        <f aca="false">INDEX(TARA!$E$2:$E$115,MATCH(A93,TARA!$A$2:$A$115,0))</f>
        <v>Tampering</v>
      </c>
      <c r="D93" s="3" t="s">
        <v>264</v>
      </c>
      <c r="E93" s="3" t="s">
        <v>423</v>
      </c>
      <c r="F93" s="4" t="b">
        <f aca="false">INDEX(TARA!$D$2:$D$115,MATCH(A93,TARA!$A$2:$A$115,0))</f>
        <v>1</v>
      </c>
      <c r="G93" s="3" t="s">
        <v>424</v>
      </c>
    </row>
    <row r="94" customFormat="false" ht="23.85" hidden="false" customHeight="false" outlineLevel="0" collapsed="false">
      <c r="A94" s="2" t="s">
        <v>211</v>
      </c>
      <c r="B94" s="3" t="str">
        <f aca="false">INDEX(TARA!$C$2:$C$115,MATCH(A94,TARA!$A$2:$A$115,0))</f>
        <v>AI Controller Module → Actuation Module (AI Out → AM In)</v>
      </c>
      <c r="C94" s="3" t="str">
        <f aca="false">INDEX(TARA!$E$2:$E$115,MATCH(A94,TARA!$A$2:$A$115,0))</f>
        <v>Repudiation</v>
      </c>
      <c r="D94" s="3" t="s">
        <v>267</v>
      </c>
      <c r="E94" s="3" t="s">
        <v>385</v>
      </c>
      <c r="F94" s="4" t="b">
        <f aca="false">INDEX(TARA!$D$2:$D$115,MATCH(A94,TARA!$A$2:$A$115,0))</f>
        <v>0</v>
      </c>
      <c r="G94" s="3" t="s">
        <v>386</v>
      </c>
    </row>
    <row r="95" customFormat="false" ht="23.85" hidden="false" customHeight="false" outlineLevel="0" collapsed="false">
      <c r="A95" s="2" t="s">
        <v>213</v>
      </c>
      <c r="B95" s="3" t="str">
        <f aca="false">INDEX(TARA!$C$2:$C$115,MATCH(A95,TARA!$A$2:$A$115,0))</f>
        <v>AI Controller Module → Actuation Module (AI Out → AM In)</v>
      </c>
      <c r="C95" s="3" t="str">
        <f aca="false">INDEX(TARA!$E$2:$E$115,MATCH(A95,TARA!$A$2:$A$115,0))</f>
        <v>Information Disclosure</v>
      </c>
      <c r="D95" s="3" t="s">
        <v>270</v>
      </c>
      <c r="E95" s="3" t="s">
        <v>425</v>
      </c>
      <c r="F95" s="4" t="b">
        <f aca="false">INDEX(TARA!$D$2:$D$115,MATCH(A95,TARA!$A$2:$A$115,0))</f>
        <v>0</v>
      </c>
      <c r="G95" s="3" t="s">
        <v>426</v>
      </c>
    </row>
    <row r="96" customFormat="false" ht="23.85" hidden="false" customHeight="false" outlineLevel="0" collapsed="false">
      <c r="A96" s="2" t="s">
        <v>215</v>
      </c>
      <c r="B96" s="3" t="str">
        <f aca="false">INDEX(TARA!$C$2:$C$115,MATCH(A96,TARA!$A$2:$A$115,0))</f>
        <v>AI Controller Module → Actuation Module (AI Out → AM In)</v>
      </c>
      <c r="C96" s="3" t="str">
        <f aca="false">INDEX(TARA!$E$2:$E$115,MATCH(A96,TARA!$A$2:$A$115,0))</f>
        <v>Denial of Service</v>
      </c>
      <c r="D96" s="3" t="s">
        <v>273</v>
      </c>
      <c r="E96" s="3" t="s">
        <v>427</v>
      </c>
      <c r="F96" s="4" t="b">
        <f aca="false">INDEX(TARA!$D$2:$D$115,MATCH(A96,TARA!$A$2:$A$115,0))</f>
        <v>1</v>
      </c>
      <c r="G96" s="3" t="s">
        <v>428</v>
      </c>
    </row>
    <row r="97" customFormat="false" ht="23.85" hidden="false" customHeight="false" outlineLevel="0" collapsed="false">
      <c r="A97" s="2" t="s">
        <v>217</v>
      </c>
      <c r="B97" s="3" t="str">
        <f aca="false">INDEX(TARA!$C$2:$C$115,MATCH(A97,TARA!$A$2:$A$115,0))</f>
        <v>AI Controller Module → Actuation Module (AI Out → AM In)</v>
      </c>
      <c r="C97" s="3" t="str">
        <f aca="false">INDEX(TARA!$E$2:$E$115,MATCH(A97,TARA!$A$2:$A$115,0))</f>
        <v>Elevation of Privilege</v>
      </c>
      <c r="D97" s="3" t="s">
        <v>276</v>
      </c>
      <c r="E97" s="3" t="s">
        <v>390</v>
      </c>
      <c r="F97" s="4" t="b">
        <f aca="false">INDEX(TARA!$D$2:$D$115,MATCH(A97,TARA!$A$2:$A$115,0))</f>
        <v>0</v>
      </c>
      <c r="G97" s="3" t="s">
        <v>391</v>
      </c>
    </row>
    <row r="98" customFormat="false" ht="23.85" hidden="false" customHeight="false" outlineLevel="0" collapsed="false">
      <c r="A98" s="2" t="s">
        <v>219</v>
      </c>
      <c r="B98" s="3" t="str">
        <f aca="false">INDEX(TARA!$C$2:$C$115,MATCH(A98,TARA!$A$2:$A$115,0))</f>
        <v>Actuation Module → Brake (AM Out → B In)</v>
      </c>
      <c r="C98" s="3" t="str">
        <f aca="false">INDEX(TARA!$E$2:$E$115,MATCH(A98,TARA!$A$2:$A$115,0))</f>
        <v>Spoofing</v>
      </c>
      <c r="D98" s="3" t="s">
        <v>261</v>
      </c>
      <c r="E98" s="3" t="s">
        <v>429</v>
      </c>
      <c r="F98" s="4" t="b">
        <f aca="false">INDEX(TARA!$D$2:$D$115,MATCH(A98,TARA!$A$2:$A$115,0))</f>
        <v>1</v>
      </c>
      <c r="G98" s="3" t="s">
        <v>430</v>
      </c>
    </row>
    <row r="99" customFormat="false" ht="15" hidden="false" customHeight="false" outlineLevel="0" collapsed="false">
      <c r="A99" s="2" t="s">
        <v>222</v>
      </c>
      <c r="B99" s="3" t="str">
        <f aca="false">INDEX(TARA!$C$2:$C$115,MATCH(A99,TARA!$A$2:$A$115,0))</f>
        <v>Actuation Module → Brake (AM Out → B In)</v>
      </c>
      <c r="C99" s="3" t="str">
        <f aca="false">INDEX(TARA!$E$2:$E$115,MATCH(A99,TARA!$A$2:$A$115,0))</f>
        <v>Tampering</v>
      </c>
      <c r="D99" s="3" t="s">
        <v>264</v>
      </c>
      <c r="E99" s="3" t="s">
        <v>431</v>
      </c>
      <c r="F99" s="4" t="b">
        <f aca="false">INDEX(TARA!$D$2:$D$115,MATCH(A99,TARA!$A$2:$A$115,0))</f>
        <v>1</v>
      </c>
      <c r="G99" s="3" t="s">
        <v>432</v>
      </c>
    </row>
    <row r="100" customFormat="false" ht="23.85" hidden="false" customHeight="false" outlineLevel="0" collapsed="false">
      <c r="A100" s="2" t="s">
        <v>224</v>
      </c>
      <c r="B100" s="3" t="str">
        <f aca="false">INDEX(TARA!$C$2:$C$115,MATCH(A100,TARA!$A$2:$A$115,0))</f>
        <v>Actuation Module → Brake (AM Out → B In)</v>
      </c>
      <c r="C100" s="3" t="str">
        <f aca="false">INDEX(TARA!$E$2:$E$115,MATCH(A100,TARA!$A$2:$A$115,0))</f>
        <v>Repudiation</v>
      </c>
      <c r="D100" s="3" t="s">
        <v>267</v>
      </c>
      <c r="E100" s="3" t="s">
        <v>385</v>
      </c>
      <c r="F100" s="4" t="b">
        <f aca="false">INDEX(TARA!$D$2:$D$115,MATCH(A100,TARA!$A$2:$A$115,0))</f>
        <v>0</v>
      </c>
      <c r="G100" s="3" t="s">
        <v>386</v>
      </c>
    </row>
    <row r="101" customFormat="false" ht="15" hidden="false" customHeight="false" outlineLevel="0" collapsed="false">
      <c r="A101" s="2" t="s">
        <v>226</v>
      </c>
      <c r="B101" s="3" t="str">
        <f aca="false">INDEX(TARA!$C$2:$C$115,MATCH(A101,TARA!$A$2:$A$115,0))</f>
        <v>Actuation Module → Brake (AM Out → B In)</v>
      </c>
      <c r="C101" s="3" t="str">
        <f aca="false">INDEX(TARA!$E$2:$E$115,MATCH(A101,TARA!$A$2:$A$115,0))</f>
        <v>Information Disclosure</v>
      </c>
      <c r="D101" s="3" t="s">
        <v>270</v>
      </c>
      <c r="E101" s="3" t="s">
        <v>433</v>
      </c>
      <c r="F101" s="4" t="b">
        <f aca="false">INDEX(TARA!$D$2:$D$115,MATCH(A101,TARA!$A$2:$A$115,0))</f>
        <v>0</v>
      </c>
      <c r="G101" s="3" t="s">
        <v>434</v>
      </c>
    </row>
    <row r="102" customFormat="false" ht="15" hidden="false" customHeight="false" outlineLevel="0" collapsed="false">
      <c r="A102" s="2" t="s">
        <v>228</v>
      </c>
      <c r="B102" s="3" t="str">
        <f aca="false">INDEX(TARA!$C$2:$C$115,MATCH(A102,TARA!$A$2:$A$115,0))</f>
        <v>Actuation Module → Brake (AM Out → B In)</v>
      </c>
      <c r="C102" s="3" t="str">
        <f aca="false">INDEX(TARA!$E$2:$E$115,MATCH(A102,TARA!$A$2:$A$115,0))</f>
        <v>Denial of Service</v>
      </c>
      <c r="D102" s="3" t="s">
        <v>273</v>
      </c>
      <c r="E102" s="3" t="s">
        <v>435</v>
      </c>
      <c r="F102" s="4" t="b">
        <f aca="false">INDEX(TARA!$D$2:$D$115,MATCH(A102,TARA!$A$2:$A$115,0))</f>
        <v>1</v>
      </c>
      <c r="G102" s="3" t="s">
        <v>436</v>
      </c>
    </row>
    <row r="103" customFormat="false" ht="23.85" hidden="false" customHeight="false" outlineLevel="0" collapsed="false">
      <c r="A103" s="2" t="s">
        <v>230</v>
      </c>
      <c r="B103" s="3" t="str">
        <f aca="false">INDEX(TARA!$C$2:$C$115,MATCH(A103,TARA!$A$2:$A$115,0))</f>
        <v>Actuation Module → Brake (AM Out → B In)</v>
      </c>
      <c r="C103" s="3" t="str">
        <f aca="false">INDEX(TARA!$E$2:$E$115,MATCH(A103,TARA!$A$2:$A$115,0))</f>
        <v>Elevation of Privilege</v>
      </c>
      <c r="D103" s="3" t="s">
        <v>276</v>
      </c>
      <c r="E103" s="3" t="s">
        <v>390</v>
      </c>
      <c r="F103" s="4" t="b">
        <f aca="false">INDEX(TARA!$D$2:$D$115,MATCH(A103,TARA!$A$2:$A$115,0))</f>
        <v>0</v>
      </c>
      <c r="G103" s="3" t="s">
        <v>391</v>
      </c>
    </row>
    <row r="104" customFormat="false" ht="23.85" hidden="false" customHeight="false" outlineLevel="0" collapsed="false">
      <c r="A104" s="2" t="s">
        <v>232</v>
      </c>
      <c r="B104" s="3" t="str">
        <f aca="false">INDEX(TARA!$C$2:$C$115,MATCH(A104,TARA!$A$2:$A$115,0))</f>
        <v>Actuation Module → Throttle (AM Out → T In)</v>
      </c>
      <c r="C104" s="3" t="str">
        <f aca="false">INDEX(TARA!$E$2:$E$115,MATCH(A104,TARA!$A$2:$A$115,0))</f>
        <v>Spoofing</v>
      </c>
      <c r="D104" s="3" t="s">
        <v>261</v>
      </c>
      <c r="E104" s="3" t="s">
        <v>437</v>
      </c>
      <c r="F104" s="4" t="b">
        <f aca="false">INDEX(TARA!$D$2:$D$115,MATCH(A104,TARA!$A$2:$A$115,0))</f>
        <v>1</v>
      </c>
      <c r="G104" s="3" t="s">
        <v>438</v>
      </c>
    </row>
    <row r="105" customFormat="false" ht="15" hidden="false" customHeight="false" outlineLevel="0" collapsed="false">
      <c r="A105" s="2" t="s">
        <v>235</v>
      </c>
      <c r="B105" s="3" t="str">
        <f aca="false">INDEX(TARA!$C$2:$C$115,MATCH(A105,TARA!$A$2:$A$115,0))</f>
        <v>Actuation Module → Throttle (AM Out → T In)</v>
      </c>
      <c r="C105" s="3" t="str">
        <f aca="false">INDEX(TARA!$E$2:$E$115,MATCH(A105,TARA!$A$2:$A$115,0))</f>
        <v>Tampering</v>
      </c>
      <c r="D105" s="3" t="s">
        <v>264</v>
      </c>
      <c r="E105" s="3" t="s">
        <v>439</v>
      </c>
      <c r="F105" s="4" t="b">
        <f aca="false">INDEX(TARA!$D$2:$D$115,MATCH(A105,TARA!$A$2:$A$115,0))</f>
        <v>1</v>
      </c>
      <c r="G105" s="3" t="s">
        <v>364</v>
      </c>
    </row>
    <row r="106" customFormat="false" ht="23.85" hidden="false" customHeight="false" outlineLevel="0" collapsed="false">
      <c r="A106" s="2" t="s">
        <v>237</v>
      </c>
      <c r="B106" s="3" t="str">
        <f aca="false">INDEX(TARA!$C$2:$C$115,MATCH(A106,TARA!$A$2:$A$115,0))</f>
        <v>Actuation Module → Throttle (AM Out → T In)</v>
      </c>
      <c r="C106" s="3" t="str">
        <f aca="false">INDEX(TARA!$E$2:$E$115,MATCH(A106,TARA!$A$2:$A$115,0))</f>
        <v>Repudiation</v>
      </c>
      <c r="D106" s="3" t="s">
        <v>267</v>
      </c>
      <c r="E106" s="3" t="s">
        <v>385</v>
      </c>
      <c r="F106" s="4" t="b">
        <f aca="false">INDEX(TARA!$D$2:$D$115,MATCH(A106,TARA!$A$2:$A$115,0))</f>
        <v>0</v>
      </c>
      <c r="G106" s="3" t="s">
        <v>386</v>
      </c>
    </row>
    <row r="107" customFormat="false" ht="15" hidden="false" customHeight="false" outlineLevel="0" collapsed="false">
      <c r="A107" s="2" t="s">
        <v>239</v>
      </c>
      <c r="B107" s="3" t="str">
        <f aca="false">INDEX(TARA!$C$2:$C$115,MATCH(A107,TARA!$A$2:$A$115,0))</f>
        <v>Actuation Module → Throttle (AM Out → T In)</v>
      </c>
      <c r="C107" s="3" t="str">
        <f aca="false">INDEX(TARA!$E$2:$E$115,MATCH(A107,TARA!$A$2:$A$115,0))</f>
        <v>Information Disclosure</v>
      </c>
      <c r="D107" s="3" t="s">
        <v>270</v>
      </c>
      <c r="E107" s="3" t="s">
        <v>440</v>
      </c>
      <c r="F107" s="4" t="b">
        <f aca="false">INDEX(TARA!$D$2:$D$115,MATCH(A107,TARA!$A$2:$A$115,0))</f>
        <v>0</v>
      </c>
      <c r="G107" s="3" t="s">
        <v>441</v>
      </c>
    </row>
    <row r="108" customFormat="false" ht="15" hidden="false" customHeight="false" outlineLevel="0" collapsed="false">
      <c r="A108" s="2" t="s">
        <v>241</v>
      </c>
      <c r="B108" s="3" t="str">
        <f aca="false">INDEX(TARA!$C$2:$C$115,MATCH(A108,TARA!$A$2:$A$115,0))</f>
        <v>Actuation Module → Throttle (AM Out → T In)</v>
      </c>
      <c r="C108" s="3" t="str">
        <f aca="false">INDEX(TARA!$E$2:$E$115,MATCH(A108,TARA!$A$2:$A$115,0))</f>
        <v>Denial of Service</v>
      </c>
      <c r="D108" s="3" t="s">
        <v>273</v>
      </c>
      <c r="E108" s="3" t="s">
        <v>442</v>
      </c>
      <c r="F108" s="4" t="b">
        <f aca="false">INDEX(TARA!$D$2:$D$115,MATCH(A108,TARA!$A$2:$A$115,0))</f>
        <v>1</v>
      </c>
      <c r="G108" s="3" t="s">
        <v>443</v>
      </c>
    </row>
    <row r="109" customFormat="false" ht="23.85" hidden="false" customHeight="false" outlineLevel="0" collapsed="false">
      <c r="A109" s="2" t="s">
        <v>243</v>
      </c>
      <c r="B109" s="3" t="str">
        <f aca="false">INDEX(TARA!$C$2:$C$115,MATCH(A109,TARA!$A$2:$A$115,0))</f>
        <v>Actuation Module → Throttle (AM Out → T In)</v>
      </c>
      <c r="C109" s="3" t="str">
        <f aca="false">INDEX(TARA!$E$2:$E$115,MATCH(A109,TARA!$A$2:$A$115,0))</f>
        <v>Elevation of Privilege</v>
      </c>
      <c r="D109" s="3" t="s">
        <v>276</v>
      </c>
      <c r="E109" s="3" t="s">
        <v>390</v>
      </c>
      <c r="F109" s="4" t="b">
        <f aca="false">INDEX(TARA!$D$2:$D$115,MATCH(A109,TARA!$A$2:$A$115,0))</f>
        <v>0</v>
      </c>
      <c r="G109" s="3" t="s">
        <v>391</v>
      </c>
    </row>
    <row r="110" customFormat="false" ht="23.85" hidden="false" customHeight="false" outlineLevel="0" collapsed="false">
      <c r="A110" s="2" t="s">
        <v>245</v>
      </c>
      <c r="B110" s="3" t="str">
        <f aca="false">INDEX(TARA!$C$2:$C$115,MATCH(A110,TARA!$A$2:$A$115,0))</f>
        <v>Actuation Module → AEB (AM Out → AEB In)</v>
      </c>
      <c r="C110" s="3" t="str">
        <f aca="false">INDEX(TARA!$E$2:$E$115,MATCH(A110,TARA!$A$2:$A$115,0))</f>
        <v>Spoofing</v>
      </c>
      <c r="D110" s="3" t="s">
        <v>261</v>
      </c>
      <c r="E110" s="3" t="s">
        <v>444</v>
      </c>
      <c r="F110" s="4" t="b">
        <f aca="false">INDEX(TARA!$D$2:$D$115,MATCH(A110,TARA!$A$2:$A$115,0))</f>
        <v>1</v>
      </c>
      <c r="G110" s="3" t="s">
        <v>445</v>
      </c>
    </row>
    <row r="111" customFormat="false" ht="15" hidden="false" customHeight="false" outlineLevel="0" collapsed="false">
      <c r="A111" s="2" t="s">
        <v>248</v>
      </c>
      <c r="B111" s="3" t="str">
        <f aca="false">INDEX(TARA!$C$2:$C$115,MATCH(A111,TARA!$A$2:$A$115,0))</f>
        <v>Actuation Module → AEB (AM Out → AEB In)</v>
      </c>
      <c r="C111" s="3" t="str">
        <f aca="false">INDEX(TARA!$E$2:$E$115,MATCH(A111,TARA!$A$2:$A$115,0))</f>
        <v>Tampering</v>
      </c>
      <c r="D111" s="3" t="s">
        <v>264</v>
      </c>
      <c r="E111" s="3" t="s">
        <v>446</v>
      </c>
      <c r="F111" s="4" t="b">
        <f aca="false">INDEX(TARA!$D$2:$D$115,MATCH(A111,TARA!$A$2:$A$115,0))</f>
        <v>1</v>
      </c>
      <c r="G111" s="3" t="s">
        <v>447</v>
      </c>
    </row>
    <row r="112" customFormat="false" ht="23.85" hidden="false" customHeight="false" outlineLevel="0" collapsed="false">
      <c r="A112" s="2" t="s">
        <v>250</v>
      </c>
      <c r="B112" s="3" t="str">
        <f aca="false">INDEX(TARA!$C$2:$C$115,MATCH(A112,TARA!$A$2:$A$115,0))</f>
        <v>Actuation Module → AEB (AM Out → AEB In)</v>
      </c>
      <c r="C112" s="3" t="str">
        <f aca="false">INDEX(TARA!$E$2:$E$115,MATCH(A112,TARA!$A$2:$A$115,0))</f>
        <v>Repudiation</v>
      </c>
      <c r="D112" s="3" t="s">
        <v>267</v>
      </c>
      <c r="E112" s="3" t="s">
        <v>385</v>
      </c>
      <c r="F112" s="4" t="b">
        <f aca="false">INDEX(TARA!$D$2:$D$115,MATCH(A112,TARA!$A$2:$A$115,0))</f>
        <v>0</v>
      </c>
      <c r="G112" s="3" t="s">
        <v>386</v>
      </c>
    </row>
    <row r="113" customFormat="false" ht="15" hidden="false" customHeight="false" outlineLevel="0" collapsed="false">
      <c r="A113" s="2" t="s">
        <v>252</v>
      </c>
      <c r="B113" s="3" t="str">
        <f aca="false">INDEX(TARA!$C$2:$C$115,MATCH(A113,TARA!$A$2:$A$115,0))</f>
        <v>Actuation Module → AEB (AM Out → AEB In)</v>
      </c>
      <c r="C113" s="3" t="str">
        <f aca="false">INDEX(TARA!$E$2:$E$115,MATCH(A113,TARA!$A$2:$A$115,0))</f>
        <v>Information Disclosure</v>
      </c>
      <c r="D113" s="3" t="s">
        <v>270</v>
      </c>
      <c r="E113" s="3" t="s">
        <v>448</v>
      </c>
      <c r="F113" s="4" t="b">
        <f aca="false">INDEX(TARA!$D$2:$D$115,MATCH(A113,TARA!$A$2:$A$115,0))</f>
        <v>0</v>
      </c>
      <c r="G113" s="3" t="s">
        <v>449</v>
      </c>
    </row>
    <row r="114" customFormat="false" ht="15" hidden="false" customHeight="false" outlineLevel="0" collapsed="false">
      <c r="A114" s="2" t="s">
        <v>254</v>
      </c>
      <c r="B114" s="3" t="str">
        <f aca="false">INDEX(TARA!$C$2:$C$115,MATCH(A114,TARA!$A$2:$A$115,0))</f>
        <v>Actuation Module → AEB (AM Out → AEB In)</v>
      </c>
      <c r="C114" s="3" t="str">
        <f aca="false">INDEX(TARA!$E$2:$E$115,MATCH(A114,TARA!$A$2:$A$115,0))</f>
        <v>Denial of Service</v>
      </c>
      <c r="D114" s="3" t="s">
        <v>273</v>
      </c>
      <c r="E114" s="3" t="s">
        <v>450</v>
      </c>
      <c r="F114" s="4" t="b">
        <f aca="false">INDEX(TARA!$D$2:$D$115,MATCH(A114,TARA!$A$2:$A$115,0))</f>
        <v>1</v>
      </c>
      <c r="G114" s="3" t="s">
        <v>378</v>
      </c>
    </row>
    <row r="115" customFormat="false" ht="23.85" hidden="false" customHeight="false" outlineLevel="0" collapsed="false">
      <c r="A115" s="2" t="s">
        <v>256</v>
      </c>
      <c r="B115" s="3" t="str">
        <f aca="false">INDEX(TARA!$C$2:$C$115,MATCH(A115,TARA!$A$2:$A$115,0))</f>
        <v>Actuation Module → AEB (AM Out → AEB In)</v>
      </c>
      <c r="C115" s="3" t="str">
        <f aca="false">INDEX(TARA!$E$2:$E$115,MATCH(A115,TARA!$A$2:$A$115,0))</f>
        <v>Elevation of Privilege</v>
      </c>
      <c r="D115" s="3" t="s">
        <v>276</v>
      </c>
      <c r="E115" s="3" t="s">
        <v>390</v>
      </c>
      <c r="F115" s="4" t="b">
        <f aca="false">INDEX(TARA!$D$2:$D$115,MATCH(A115,TARA!$A$2:$A$115,0))</f>
        <v>0</v>
      </c>
      <c r="G115" s="3" t="s">
        <v>391</v>
      </c>
    </row>
  </sheetData>
  <autoFilter ref="A1:G115"/>
  <conditionalFormatting sqref="F2:F115">
    <cfRule type="cellIs" priority="2" operator="equal" aboveAverage="0" equalAverage="0" bottom="0" percent="0" rank="0" text="" dxfId="5">
      <formula>1</formula>
    </cfRule>
    <cfRule type="cellIs" priority="3" operator="equal" aboveAverage="0" equalAverage="0" bottom="0" percent="0" rank="0" text="" dxfId="6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6" min="5" style="0" width="20"/>
  </cols>
  <sheetData>
    <row r="1" customFormat="false" ht="21.75" hidden="false" customHeight="true" outlineLevel="0" collapsed="false">
      <c r="A1" s="1" t="s">
        <v>451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</row>
    <row r="2" customFormat="false" ht="23.85" hidden="false" customHeight="false" outlineLevel="0" collapsed="false">
      <c r="A2" s="3" t="s">
        <v>7</v>
      </c>
      <c r="B2" s="3" t="s">
        <v>457</v>
      </c>
      <c r="C2" s="3" t="s">
        <v>458</v>
      </c>
      <c r="D2" s="2" t="n">
        <f aca="false">COUNTIF(TARA!$C$2:$C$115,A2)</f>
        <v>6</v>
      </c>
      <c r="E2" s="2" t="n">
        <f aca="false">COUNTIFS(TARA!$C$2:$C$115,A2,TARA!$D$2:$D$115,TRUE())</f>
        <v>6</v>
      </c>
      <c r="F2" s="2" t="n">
        <f aca="false">COUNTIFS(TARA!$C$2:$C$115,A2,TARA!$D$2:$D$115,FALSE())</f>
        <v>0</v>
      </c>
    </row>
    <row r="3" customFormat="false" ht="15" hidden="false" customHeight="false" outlineLevel="0" collapsed="false">
      <c r="A3" s="3" t="s">
        <v>26</v>
      </c>
      <c r="B3" s="3" t="s">
        <v>459</v>
      </c>
      <c r="C3" s="3" t="s">
        <v>460</v>
      </c>
      <c r="D3" s="2" t="n">
        <f aca="false">COUNTIF(TARA!$C$2:$C$115,A3)</f>
        <v>6</v>
      </c>
      <c r="E3" s="2" t="n">
        <f aca="false">COUNTIFS(TARA!$C$2:$C$115,A3,TARA!$D$2:$D$115,TRUE())</f>
        <v>5</v>
      </c>
      <c r="F3" s="2" t="n">
        <f aca="false">COUNTIFS(TARA!$C$2:$C$115,A3,TARA!$D$2:$D$115,FALSE())</f>
        <v>1</v>
      </c>
    </row>
    <row r="4" customFormat="false" ht="15" hidden="false" customHeight="false" outlineLevel="0" collapsed="false">
      <c r="A4" s="3" t="s">
        <v>39</v>
      </c>
      <c r="B4" s="3" t="s">
        <v>459</v>
      </c>
      <c r="C4" s="3" t="s">
        <v>460</v>
      </c>
      <c r="D4" s="2" t="n">
        <f aca="false">COUNTIF(TARA!$C$2:$C$115,A4)</f>
        <v>6</v>
      </c>
      <c r="E4" s="2" t="n">
        <f aca="false">COUNTIFS(TARA!$C$2:$C$115,A4,TARA!$D$2:$D$115,TRUE())</f>
        <v>4</v>
      </c>
      <c r="F4" s="2" t="n">
        <f aca="false">COUNTIFS(TARA!$C$2:$C$115,A4,TARA!$D$2:$D$115,FALSE())</f>
        <v>2</v>
      </c>
    </row>
    <row r="5" customFormat="false" ht="15" hidden="false" customHeight="false" outlineLevel="0" collapsed="false">
      <c r="A5" s="3" t="s">
        <v>52</v>
      </c>
      <c r="B5" s="3" t="s">
        <v>461</v>
      </c>
      <c r="C5" s="3" t="s">
        <v>462</v>
      </c>
      <c r="D5" s="2" t="n">
        <f aca="false">COUNTIF(TARA!$C$2:$C$115,A5)</f>
        <v>6</v>
      </c>
      <c r="E5" s="2" t="n">
        <f aca="false">COUNTIFS(TARA!$C$2:$C$115,A5,TARA!$D$2:$D$115,TRUE())</f>
        <v>4</v>
      </c>
      <c r="F5" s="2" t="n">
        <f aca="false">COUNTIFS(TARA!$C$2:$C$115,A5,TARA!$D$2:$D$115,FALSE())</f>
        <v>2</v>
      </c>
    </row>
    <row r="6" customFormat="false" ht="15" hidden="false" customHeight="false" outlineLevel="0" collapsed="false">
      <c r="A6" s="3" t="s">
        <v>65</v>
      </c>
      <c r="B6" s="3" t="s">
        <v>461</v>
      </c>
      <c r="C6" s="3" t="s">
        <v>462</v>
      </c>
      <c r="D6" s="2" t="n">
        <f aca="false">COUNTIF(TARA!$C$2:$C$115,A6)</f>
        <v>6</v>
      </c>
      <c r="E6" s="2" t="n">
        <f aca="false">COUNTIFS(TARA!$C$2:$C$115,A6,TARA!$D$2:$D$115,TRUE())</f>
        <v>3</v>
      </c>
      <c r="F6" s="2" t="n">
        <f aca="false">COUNTIFS(TARA!$C$2:$C$115,A6,TARA!$D$2:$D$115,FALSE())</f>
        <v>3</v>
      </c>
    </row>
    <row r="7" customFormat="false" ht="15" hidden="false" customHeight="false" outlineLevel="0" collapsed="false">
      <c r="A7" s="3" t="s">
        <v>78</v>
      </c>
      <c r="B7" s="3" t="s">
        <v>461</v>
      </c>
      <c r="C7" s="3" t="s">
        <v>462</v>
      </c>
      <c r="D7" s="2" t="n">
        <f aca="false">COUNTIF(TARA!$C$2:$C$115,A7)</f>
        <v>6</v>
      </c>
      <c r="E7" s="2" t="n">
        <f aca="false">COUNTIFS(TARA!$C$2:$C$115,A7,TARA!$D$2:$D$115,TRUE())</f>
        <v>3</v>
      </c>
      <c r="F7" s="2" t="n">
        <f aca="false">COUNTIFS(TARA!$C$2:$C$115,A7,TARA!$D$2:$D$115,FALSE())</f>
        <v>3</v>
      </c>
    </row>
    <row r="8" customFormat="false" ht="15" hidden="false" customHeight="false" outlineLevel="0" collapsed="false">
      <c r="A8" s="3" t="s">
        <v>91</v>
      </c>
      <c r="B8" s="3" t="s">
        <v>463</v>
      </c>
      <c r="C8" s="3" t="s">
        <v>462</v>
      </c>
      <c r="D8" s="2" t="n">
        <f aca="false">COUNTIF(TARA!$C$2:$C$115,A8)</f>
        <v>6</v>
      </c>
      <c r="E8" s="2" t="n">
        <f aca="false">COUNTIFS(TARA!$C$2:$C$115,A8,TARA!$D$2:$D$115,TRUE())</f>
        <v>6</v>
      </c>
      <c r="F8" s="2" t="n">
        <f aca="false">COUNTIFS(TARA!$C$2:$C$115,A8,TARA!$D$2:$D$115,FALSE())</f>
        <v>0</v>
      </c>
    </row>
    <row r="9" customFormat="false" ht="15" hidden="false" customHeight="false" outlineLevel="0" collapsed="false">
      <c r="A9" s="3" t="s">
        <v>104</v>
      </c>
      <c r="B9" s="3" t="s">
        <v>464</v>
      </c>
      <c r="C9" s="3" t="s">
        <v>465</v>
      </c>
      <c r="D9" s="2" t="n">
        <f aca="false">COUNTIF(TARA!$C$2:$C$115,A9)</f>
        <v>6</v>
      </c>
      <c r="E9" s="2" t="n">
        <f aca="false">COUNTIFS(TARA!$C$2:$C$115,A9,TARA!$D$2:$D$115,TRUE())</f>
        <v>2</v>
      </c>
      <c r="F9" s="2" t="n">
        <f aca="false">COUNTIFS(TARA!$C$2:$C$115,A9,TARA!$D$2:$D$115,FALSE())</f>
        <v>4</v>
      </c>
    </row>
    <row r="10" customFormat="false" ht="15" hidden="false" customHeight="false" outlineLevel="0" collapsed="false">
      <c r="A10" s="3" t="s">
        <v>117</v>
      </c>
      <c r="B10" s="3" t="s">
        <v>464</v>
      </c>
      <c r="C10" s="3" t="s">
        <v>465</v>
      </c>
      <c r="D10" s="2" t="n">
        <f aca="false">COUNTIF(TARA!$C$2:$C$115,A10)</f>
        <v>6</v>
      </c>
      <c r="E10" s="2" t="n">
        <f aca="false">COUNTIFS(TARA!$C$2:$C$115,A10,TARA!$D$2:$D$115,TRUE())</f>
        <v>2</v>
      </c>
      <c r="F10" s="2" t="n">
        <f aca="false">COUNTIFS(TARA!$C$2:$C$115,A10,TARA!$D$2:$D$115,FALSE())</f>
        <v>4</v>
      </c>
    </row>
    <row r="11" customFormat="false" ht="15" hidden="false" customHeight="false" outlineLevel="0" collapsed="false">
      <c r="A11" s="3" t="s">
        <v>130</v>
      </c>
      <c r="B11" s="3" t="s">
        <v>463</v>
      </c>
      <c r="C11" s="3" t="s">
        <v>465</v>
      </c>
      <c r="D11" s="2" t="n">
        <f aca="false">COUNTIF(TARA!$C$2:$C$115,A11)</f>
        <v>6</v>
      </c>
      <c r="E11" s="2" t="n">
        <f aca="false">COUNTIFS(TARA!$C$2:$C$115,A11,TARA!$D$2:$D$115,TRUE())</f>
        <v>2</v>
      </c>
      <c r="F11" s="2" t="n">
        <f aca="false">COUNTIFS(TARA!$C$2:$C$115,A11,TARA!$D$2:$D$115,FALSE())</f>
        <v>4</v>
      </c>
    </row>
    <row r="12" customFormat="false" ht="15" hidden="false" customHeight="false" outlineLevel="0" collapsed="false">
      <c r="A12" s="3" t="s">
        <v>143</v>
      </c>
      <c r="B12" s="3" t="s">
        <v>466</v>
      </c>
      <c r="C12" s="3" t="s">
        <v>460</v>
      </c>
      <c r="D12" s="2" t="n">
        <f aca="false">COUNTIF(TARA!$C$2:$C$115,A12)</f>
        <v>6</v>
      </c>
      <c r="E12" s="2" t="n">
        <f aca="false">COUNTIFS(TARA!$C$2:$C$115,A12,TARA!$D$2:$D$115,TRUE())</f>
        <v>4</v>
      </c>
      <c r="F12" s="2" t="n">
        <f aca="false">COUNTIFS(TARA!$C$2:$C$115,A12,TARA!$D$2:$D$115,FALSE())</f>
        <v>2</v>
      </c>
    </row>
    <row r="13" customFormat="false" ht="15" hidden="false" customHeight="false" outlineLevel="0" collapsed="false">
      <c r="A13" s="3" t="s">
        <v>156</v>
      </c>
      <c r="B13" s="3" t="s">
        <v>466</v>
      </c>
      <c r="C13" s="3" t="s">
        <v>460</v>
      </c>
      <c r="D13" s="2" t="n">
        <f aca="false">COUNTIF(TARA!$C$2:$C$115,A13)</f>
        <v>6</v>
      </c>
      <c r="E13" s="2" t="n">
        <f aca="false">COUNTIFS(TARA!$C$2:$C$115,A13,TARA!$D$2:$D$115,TRUE())</f>
        <v>3</v>
      </c>
      <c r="F13" s="2" t="n">
        <f aca="false">COUNTIFS(TARA!$C$2:$C$115,A13,TARA!$D$2:$D$115,FALSE())</f>
        <v>3</v>
      </c>
    </row>
    <row r="14" customFormat="false" ht="15" hidden="false" customHeight="false" outlineLevel="0" collapsed="false">
      <c r="A14" s="3" t="s">
        <v>169</v>
      </c>
      <c r="B14" s="3" t="s">
        <v>466</v>
      </c>
      <c r="C14" s="3" t="s">
        <v>460</v>
      </c>
      <c r="D14" s="2" t="n">
        <f aca="false">COUNTIF(TARA!$C$2:$C$115,A14)</f>
        <v>6</v>
      </c>
      <c r="E14" s="2" t="n">
        <f aca="false">COUNTIFS(TARA!$C$2:$C$115,A14,TARA!$D$2:$D$115,TRUE())</f>
        <v>3</v>
      </c>
      <c r="F14" s="2" t="n">
        <f aca="false">COUNTIFS(TARA!$C$2:$C$115,A14,TARA!$D$2:$D$115,FALSE())</f>
        <v>3</v>
      </c>
    </row>
    <row r="15" customFormat="false" ht="15" hidden="false" customHeight="false" outlineLevel="0" collapsed="false">
      <c r="A15" s="3" t="s">
        <v>182</v>
      </c>
      <c r="B15" s="3" t="s">
        <v>466</v>
      </c>
      <c r="C15" s="3" t="s">
        <v>460</v>
      </c>
      <c r="D15" s="2" t="n">
        <f aca="false">COUNTIF(TARA!$C$2:$C$115,A15)</f>
        <v>6</v>
      </c>
      <c r="E15" s="2" t="n">
        <f aca="false">COUNTIFS(TARA!$C$2:$C$115,A15,TARA!$D$2:$D$115,TRUE())</f>
        <v>4</v>
      </c>
      <c r="F15" s="2" t="n">
        <f aca="false">COUNTIFS(TARA!$C$2:$C$115,A15,TARA!$D$2:$D$115,FALSE())</f>
        <v>2</v>
      </c>
    </row>
    <row r="16" customFormat="false" ht="15" hidden="false" customHeight="false" outlineLevel="0" collapsed="false">
      <c r="A16" s="3" t="s">
        <v>195</v>
      </c>
      <c r="B16" s="3" t="s">
        <v>466</v>
      </c>
      <c r="C16" s="3" t="s">
        <v>467</v>
      </c>
      <c r="D16" s="2" t="n">
        <f aca="false">COUNTIF(TARA!$C$2:$C$115,A16)</f>
        <v>6</v>
      </c>
      <c r="E16" s="2" t="n">
        <f aca="false">COUNTIFS(TARA!$C$2:$C$115,A16,TARA!$D$2:$D$115,TRUE())</f>
        <v>3</v>
      </c>
      <c r="F16" s="2" t="n">
        <f aca="false">COUNTIFS(TARA!$C$2:$C$115,A16,TARA!$D$2:$D$115,FALSE())</f>
        <v>3</v>
      </c>
    </row>
    <row r="17" customFormat="false" ht="15" hidden="false" customHeight="false" outlineLevel="0" collapsed="false">
      <c r="A17" s="3" t="s">
        <v>208</v>
      </c>
      <c r="B17" s="3" t="s">
        <v>466</v>
      </c>
      <c r="C17" s="3" t="s">
        <v>468</v>
      </c>
      <c r="D17" s="2" t="n">
        <f aca="false">COUNTIF(TARA!$C$2:$C$115,A17)</f>
        <v>6</v>
      </c>
      <c r="E17" s="2" t="n">
        <f aca="false">COUNTIFS(TARA!$C$2:$C$115,A17,TARA!$D$2:$D$115,TRUE())</f>
        <v>3</v>
      </c>
      <c r="F17" s="2" t="n">
        <f aca="false">COUNTIFS(TARA!$C$2:$C$115,A17,TARA!$D$2:$D$115,FALSE())</f>
        <v>3</v>
      </c>
    </row>
    <row r="18" customFormat="false" ht="15" hidden="false" customHeight="false" outlineLevel="0" collapsed="false">
      <c r="A18" s="3" t="s">
        <v>221</v>
      </c>
      <c r="B18" s="3" t="s">
        <v>466</v>
      </c>
      <c r="C18" s="3" t="s">
        <v>460</v>
      </c>
      <c r="D18" s="2" t="n">
        <f aca="false">COUNTIF(TARA!$C$2:$C$115,A18)</f>
        <v>6</v>
      </c>
      <c r="E18" s="2" t="n">
        <f aca="false">COUNTIFS(TARA!$C$2:$C$115,A18,TARA!$D$2:$D$115,TRUE())</f>
        <v>3</v>
      </c>
      <c r="F18" s="2" t="n">
        <f aca="false">COUNTIFS(TARA!$C$2:$C$115,A18,TARA!$D$2:$D$115,FALSE())</f>
        <v>3</v>
      </c>
    </row>
    <row r="19" customFormat="false" ht="15" hidden="false" customHeight="false" outlineLevel="0" collapsed="false">
      <c r="A19" s="3" t="s">
        <v>234</v>
      </c>
      <c r="B19" s="3" t="s">
        <v>466</v>
      </c>
      <c r="C19" s="3" t="s">
        <v>460</v>
      </c>
      <c r="D19" s="2" t="n">
        <f aca="false">COUNTIF(TARA!$C$2:$C$115,A19)</f>
        <v>6</v>
      </c>
      <c r="E19" s="2" t="n">
        <f aca="false">COUNTIFS(TARA!$C$2:$C$115,A19,TARA!$D$2:$D$115,TRUE())</f>
        <v>3</v>
      </c>
      <c r="F19" s="2" t="n">
        <f aca="false">COUNTIFS(TARA!$C$2:$C$115,A19,TARA!$D$2:$D$115,FALSE())</f>
        <v>3</v>
      </c>
    </row>
    <row r="20" customFormat="false" ht="15" hidden="false" customHeight="false" outlineLevel="0" collapsed="false">
      <c r="A20" s="3" t="s">
        <v>247</v>
      </c>
      <c r="B20" s="3" t="s">
        <v>466</v>
      </c>
      <c r="C20" s="3" t="s">
        <v>460</v>
      </c>
      <c r="D20" s="2" t="n">
        <f aca="false">COUNTIF(TARA!$C$2:$C$115,A20)</f>
        <v>6</v>
      </c>
      <c r="E20" s="2" t="n">
        <f aca="false">COUNTIFS(TARA!$C$2:$C$115,A20,TARA!$D$2:$D$115,TRUE())</f>
        <v>3</v>
      </c>
      <c r="F20" s="2" t="n">
        <f aca="false">COUNTIFS(TARA!$C$2:$C$115,A20,TARA!$D$2:$D$115,FALSE())</f>
        <v>3</v>
      </c>
    </row>
    <row r="21" customFormat="false" ht="15" hidden="false" customHeight="false" outlineLevel="0" collapsed="false">
      <c r="A21" s="5" t="s">
        <v>469</v>
      </c>
      <c r="D21" s="6" t="n">
        <f aca="false">SUM(D2:D20)</f>
        <v>114</v>
      </c>
      <c r="E21" s="6" t="n">
        <f aca="false">SUM(E2:E20)</f>
        <v>66</v>
      </c>
      <c r="F21" s="6" t="n">
        <f aca="false">SUM(F2:F20)</f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5" min="4" style="0" width="20"/>
  </cols>
  <sheetData>
    <row r="1" customFormat="false" ht="21.75" hidden="false" customHeight="true" outlineLevel="0" collapsed="false">
      <c r="A1" s="1" t="s">
        <v>470</v>
      </c>
      <c r="B1" s="1" t="s">
        <v>258</v>
      </c>
      <c r="C1" s="1" t="s">
        <v>454</v>
      </c>
      <c r="D1" s="1" t="s">
        <v>455</v>
      </c>
      <c r="E1" s="1" t="s">
        <v>456</v>
      </c>
    </row>
    <row r="2" customFormat="false" ht="15" hidden="false" customHeight="false" outlineLevel="0" collapsed="false">
      <c r="A2" s="3" t="s">
        <v>8</v>
      </c>
      <c r="B2" s="3" t="s">
        <v>261</v>
      </c>
      <c r="C2" s="2" t="n">
        <f aca="false">COUNTIF(TARA!$E$2:$E$115,A2)</f>
        <v>19</v>
      </c>
      <c r="D2" s="2" t="n">
        <f aca="false">COUNTIFS(TARA!$E$2:$E$115,A2,TARA!$D$2:$D$115,TRUE())</f>
        <v>16</v>
      </c>
      <c r="E2" s="2" t="n">
        <f aca="false">COUNTIFS(TARA!$E$2:$E$115,A2,TARA!$D$2:$D$115,FALSE())</f>
        <v>3</v>
      </c>
    </row>
    <row r="3" customFormat="false" ht="15" hidden="false" customHeight="false" outlineLevel="0" collapsed="false">
      <c r="A3" s="3" t="s">
        <v>11</v>
      </c>
      <c r="B3" s="3" t="s">
        <v>264</v>
      </c>
      <c r="C3" s="2" t="n">
        <f aca="false">COUNTIF(TARA!$E$2:$E$115,A3)</f>
        <v>19</v>
      </c>
      <c r="D3" s="2" t="n">
        <f aca="false">COUNTIFS(TARA!$E$2:$E$115,A3,TARA!$D$2:$D$115,TRUE())</f>
        <v>19</v>
      </c>
      <c r="E3" s="2" t="n">
        <f aca="false">COUNTIFS(TARA!$E$2:$E$115,A3,TARA!$D$2:$D$115,FALSE())</f>
        <v>0</v>
      </c>
    </row>
    <row r="4" customFormat="false" ht="15" hidden="false" customHeight="false" outlineLevel="0" collapsed="false">
      <c r="A4" s="3" t="s">
        <v>14</v>
      </c>
      <c r="B4" s="3" t="s">
        <v>267</v>
      </c>
      <c r="C4" s="2" t="n">
        <f aca="false">COUNTIF(TARA!$E$2:$E$115,A4)</f>
        <v>19</v>
      </c>
      <c r="D4" s="2" t="n">
        <f aca="false">COUNTIFS(TARA!$E$2:$E$115,A4,TARA!$D$2:$D$115,TRUE())</f>
        <v>2</v>
      </c>
      <c r="E4" s="2" t="n">
        <f aca="false">COUNTIFS(TARA!$E$2:$E$115,A4,TARA!$D$2:$D$115,FALSE())</f>
        <v>17</v>
      </c>
    </row>
    <row r="5" customFormat="false" ht="15" hidden="false" customHeight="false" outlineLevel="0" collapsed="false">
      <c r="A5" s="3" t="s">
        <v>17</v>
      </c>
      <c r="B5" s="3" t="s">
        <v>270</v>
      </c>
      <c r="C5" s="2" t="n">
        <f aca="false">COUNTIF(TARA!$E$2:$E$115,A5)</f>
        <v>19</v>
      </c>
      <c r="D5" s="2" t="n">
        <f aca="false">COUNTIFS(TARA!$E$2:$E$115,A5,TARA!$D$2:$D$115,TRUE())</f>
        <v>6</v>
      </c>
      <c r="E5" s="2" t="n">
        <f aca="false">COUNTIFS(TARA!$E$2:$E$115,A5,TARA!$D$2:$D$115,FALSE())</f>
        <v>13</v>
      </c>
    </row>
    <row r="6" customFormat="false" ht="15" hidden="false" customHeight="false" outlineLevel="0" collapsed="false">
      <c r="A6" s="3" t="s">
        <v>20</v>
      </c>
      <c r="B6" s="3" t="s">
        <v>273</v>
      </c>
      <c r="C6" s="2" t="n">
        <f aca="false">COUNTIF(TARA!$E$2:$E$115,A6)</f>
        <v>19</v>
      </c>
      <c r="D6" s="2" t="n">
        <f aca="false">COUNTIFS(TARA!$E$2:$E$115,A6,TARA!$D$2:$D$115,TRUE())</f>
        <v>19</v>
      </c>
      <c r="E6" s="2" t="n">
        <f aca="false">COUNTIFS(TARA!$E$2:$E$115,A6,TARA!$D$2:$D$115,FALSE())</f>
        <v>0</v>
      </c>
    </row>
    <row r="7" customFormat="false" ht="15" hidden="false" customHeight="false" outlineLevel="0" collapsed="false">
      <c r="A7" s="3" t="s">
        <v>23</v>
      </c>
      <c r="B7" s="3" t="s">
        <v>276</v>
      </c>
      <c r="C7" s="2" t="n">
        <f aca="false">COUNTIF(TARA!$E$2:$E$115,A7)</f>
        <v>19</v>
      </c>
      <c r="D7" s="2" t="n">
        <f aca="false">COUNTIFS(TARA!$E$2:$E$115,A7,TARA!$D$2:$D$115,TRUE())</f>
        <v>4</v>
      </c>
      <c r="E7" s="2" t="n">
        <f aca="false">COUNTIFS(TARA!$E$2:$E$115,A7,TARA!$D$2:$D$115,FALSE())</f>
        <v>15</v>
      </c>
    </row>
    <row r="8" customFormat="false" ht="15" hidden="false" customHeight="false" outlineLevel="0" collapsed="false">
      <c r="A8" s="5" t="s">
        <v>469</v>
      </c>
      <c r="C8" s="6" t="n">
        <f aca="false">SUM(C2:C7)</f>
        <v>114</v>
      </c>
      <c r="D8" s="6" t="n">
        <f aca="false">SUM(D2:D7)</f>
        <v>66</v>
      </c>
      <c r="E8" s="6" t="n">
        <f aca="false">SUM(E2:E7)</f>
        <v>48</v>
      </c>
    </row>
    <row r="10" customFormat="false" ht="15" hidden="false" customHeight="false" outlineLevel="0" collapsed="false">
      <c r="A10" s="7" t="s">
        <v>471</v>
      </c>
    </row>
    <row r="11" customFormat="false" ht="15" hidden="false" customHeight="false" outlineLevel="0" collapsed="false">
      <c r="A11" s="8" t="s">
        <v>472</v>
      </c>
    </row>
    <row r="12" customFormat="false" ht="15" hidden="false" customHeight="false" outlineLevel="0" collapsed="false">
      <c r="A12" s="8" t="s">
        <v>473</v>
      </c>
    </row>
    <row r="13" customFormat="false" ht="15" hidden="false" customHeight="false" outlineLevel="0" collapsed="false">
      <c r="A13" s="8" t="s">
        <v>474</v>
      </c>
    </row>
    <row r="14" customFormat="false" ht="15" hidden="false" customHeight="false" outlineLevel="0" collapsed="false">
      <c r="A14" s="8" t="s">
        <v>475</v>
      </c>
    </row>
    <row r="15" customFormat="false" ht="15" hidden="false" customHeight="false" outlineLevel="0" collapsed="false">
      <c r="A15" s="8" t="s">
        <v>476</v>
      </c>
    </row>
    <row r="16" customFormat="false" ht="15" hidden="false" customHeight="false" outlineLevel="0" collapsed="false">
      <c r="A16" s="8" t="s">
        <v>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2026-09-24T09:43:55Z</dcterms:created>
  <dc:creator>openpyxl</dc:creator>
  <dc:description/>
  <dc:language>en-US</dc:language>
  <cp:lastModifiedBy/>
  <dcterms:modified xsi:type="dcterms:W3CDTF">2026-09-24T09:43:55Z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