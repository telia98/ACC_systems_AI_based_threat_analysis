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A" sheetId="1" state="visible" r:id="rId3"/>
    <sheet name="Rationale" sheetId="2" state="visible" r:id="rId4"/>
    <sheet name="Summary" sheetId="3" state="visible" r:id="rId5"/>
  </sheets>
  <definedNames>
    <definedName function="false" hidden="true" localSheetId="1" name="_xlnm._FilterDatabase" vbProcedure="false">Rationale!$A$1:$G$115</definedName>
    <definedName function="false" hidden="true" localSheetId="0" name="_xlnm._FilterDatabase" vbProcedure="false">TARA!$A$1:$E$115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<sst xmlns="http://schemas.openxmlformats.org/spreadsheetml/2006/main" count="1176" uniqueCount="367">
  <si>
    <t xml:space="preserve">ID</t>
  </si>
  <si>
    <t xml:space="preserve">Name</t>
  </si>
  <si>
    <t xml:space="preserve">Assets</t>
  </si>
  <si>
    <t xml:space="preserve">To Be Assessed</t>
  </si>
  <si>
    <t xml:space="preserve">Category</t>
  </si>
  <si>
    <t xml:space="preserve">TS-001</t>
  </si>
  <si>
    <t xml:space="preserve">Spoofing of AI Controller Module</t>
  </si>
  <si>
    <t xml:space="preserve">AI Controller Module</t>
  </si>
  <si>
    <t xml:space="preserve">Spoofing</t>
  </si>
  <si>
    <t xml:space="preserve">TS-002</t>
  </si>
  <si>
    <t xml:space="preserve">Tampering with AI Controller Module</t>
  </si>
  <si>
    <t xml:space="preserve">Tampering</t>
  </si>
  <si>
    <t xml:space="preserve">TS-003</t>
  </si>
  <si>
    <t xml:space="preserve">Repudiation of AI Controller Module actions</t>
  </si>
  <si>
    <t xml:space="preserve">Repudiation</t>
  </si>
  <si>
    <t xml:space="preserve">TS-004</t>
  </si>
  <si>
    <t xml:space="preserve">Information disclosure from AI Controller Module</t>
  </si>
  <si>
    <t xml:space="preserve">Information Disclosure</t>
  </si>
  <si>
    <t xml:space="preserve">TS-005</t>
  </si>
  <si>
    <t xml:space="preserve">Denial of service of AI Controller Module</t>
  </si>
  <si>
    <t xml:space="preserve">Denial of Service</t>
  </si>
  <si>
    <t xml:space="preserve">TS-006</t>
  </si>
  <si>
    <t xml:space="preserve">Elevation of privilege on AI Controller Module</t>
  </si>
  <si>
    <t xml:space="preserve">Elevation of Privilege</t>
  </si>
  <si>
    <t xml:space="preserve">TS-007</t>
  </si>
  <si>
    <t xml:space="preserve">Spoofing of Perception Module</t>
  </si>
  <si>
    <t xml:space="preserve">Perception Module</t>
  </si>
  <si>
    <t xml:space="preserve">TS-008</t>
  </si>
  <si>
    <t xml:space="preserve">Tampering with Perception Module</t>
  </si>
  <si>
    <t xml:space="preserve">TS-009</t>
  </si>
  <si>
    <t xml:space="preserve">Repudiation of Perception Module actions</t>
  </si>
  <si>
    <t xml:space="preserve">TS-010</t>
  </si>
  <si>
    <t xml:space="preserve">Information disclosure from Perception Module</t>
  </si>
  <si>
    <t xml:space="preserve">TS-011</t>
  </si>
  <si>
    <t xml:space="preserve">Denial of service of Perception Module</t>
  </si>
  <si>
    <t xml:space="preserve">TS-012</t>
  </si>
  <si>
    <t xml:space="preserve">Elevation of privilege on Perception Module</t>
  </si>
  <si>
    <t xml:space="preserve">TS-013</t>
  </si>
  <si>
    <t xml:space="preserve">Spoofing of Camera</t>
  </si>
  <si>
    <t xml:space="preserve">Camera</t>
  </si>
  <si>
    <t xml:space="preserve">TS-014</t>
  </si>
  <si>
    <t xml:space="preserve">Tampering with Camera</t>
  </si>
  <si>
    <t xml:space="preserve">TS-015</t>
  </si>
  <si>
    <t xml:space="preserve">Repudiation of Camera actions</t>
  </si>
  <si>
    <t xml:space="preserve">TS-016</t>
  </si>
  <si>
    <t xml:space="preserve">Information disclosure from Camera</t>
  </si>
  <si>
    <t xml:space="preserve">TS-017</t>
  </si>
  <si>
    <t xml:space="preserve">Denial of service of Camera</t>
  </si>
  <si>
    <t xml:space="preserve">TS-018</t>
  </si>
  <si>
    <t xml:space="preserve">Elevation of privilege on Camera</t>
  </si>
  <si>
    <t xml:space="preserve">TS-019</t>
  </si>
  <si>
    <t xml:space="preserve">Spoofing of Radar</t>
  </si>
  <si>
    <t xml:space="preserve">Radar</t>
  </si>
  <si>
    <t xml:space="preserve">TS-020</t>
  </si>
  <si>
    <t xml:space="preserve">Tampering with Radar</t>
  </si>
  <si>
    <t xml:space="preserve">TS-021</t>
  </si>
  <si>
    <t xml:space="preserve">Repudiation of Radar actions</t>
  </si>
  <si>
    <t xml:space="preserve">TS-022</t>
  </si>
  <si>
    <t xml:space="preserve">Information disclosure from Radar</t>
  </si>
  <si>
    <t xml:space="preserve">TS-023</t>
  </si>
  <si>
    <t xml:space="preserve">Denial of service of Radar</t>
  </si>
  <si>
    <t xml:space="preserve">TS-024</t>
  </si>
  <si>
    <t xml:space="preserve">Elevation of privilege on Radar</t>
  </si>
  <si>
    <t xml:space="preserve">TS-025</t>
  </si>
  <si>
    <t xml:space="preserve">Spoofing of LIDAR</t>
  </si>
  <si>
    <t xml:space="preserve">LIDAR</t>
  </si>
  <si>
    <t xml:space="preserve">TS-026</t>
  </si>
  <si>
    <t xml:space="preserve">Tampering with LIDAR</t>
  </si>
  <si>
    <t xml:space="preserve">TS-027</t>
  </si>
  <si>
    <t xml:space="preserve">Repudiation of LIDAR actions</t>
  </si>
  <si>
    <t xml:space="preserve">TS-028</t>
  </si>
  <si>
    <t xml:space="preserve">Information disclosure from LIDAR</t>
  </si>
  <si>
    <t xml:space="preserve">TS-029</t>
  </si>
  <si>
    <t xml:space="preserve">Denial of service of LIDAR</t>
  </si>
  <si>
    <t xml:space="preserve">TS-030</t>
  </si>
  <si>
    <t xml:space="preserve">Elevation of privilege on LIDAR</t>
  </si>
  <si>
    <t xml:space="preserve">TS-031</t>
  </si>
  <si>
    <t xml:space="preserve">Spoofing of OBU</t>
  </si>
  <si>
    <t xml:space="preserve">OBU</t>
  </si>
  <si>
    <t xml:space="preserve">TS-032</t>
  </si>
  <si>
    <t xml:space="preserve">Tampering with OBU</t>
  </si>
  <si>
    <t xml:space="preserve">TS-033</t>
  </si>
  <si>
    <t xml:space="preserve">Repudiation of OBU actions</t>
  </si>
  <si>
    <t xml:space="preserve">TS-034</t>
  </si>
  <si>
    <t xml:space="preserve">Information disclosure from OBU</t>
  </si>
  <si>
    <t xml:space="preserve">TS-035</t>
  </si>
  <si>
    <t xml:space="preserve">Denial of service of OBU</t>
  </si>
  <si>
    <t xml:space="preserve">TS-036</t>
  </si>
  <si>
    <t xml:space="preserve">Elevation of privilege on OBU</t>
  </si>
  <si>
    <t xml:space="preserve">TS-037</t>
  </si>
  <si>
    <t xml:space="preserve">Spoofing of Actuation Module</t>
  </si>
  <si>
    <t xml:space="preserve">Actuation Module</t>
  </si>
  <si>
    <t xml:space="preserve">TS-038</t>
  </si>
  <si>
    <t xml:space="preserve">Tampering with Actuation Module</t>
  </si>
  <si>
    <t xml:space="preserve">TS-039</t>
  </si>
  <si>
    <t xml:space="preserve">Repudiation of Actuation Module actions</t>
  </si>
  <si>
    <t xml:space="preserve">TS-040</t>
  </si>
  <si>
    <t xml:space="preserve">Information disclosure from Actuation Module</t>
  </si>
  <si>
    <t xml:space="preserve">TS-041</t>
  </si>
  <si>
    <t xml:space="preserve">Denial of service of Actuation Module</t>
  </si>
  <si>
    <t xml:space="preserve">TS-042</t>
  </si>
  <si>
    <t xml:space="preserve">Elevation of privilege on Actuation Module</t>
  </si>
  <si>
    <t xml:space="preserve">TS-043</t>
  </si>
  <si>
    <t xml:space="preserve">Spoofing of Brake</t>
  </si>
  <si>
    <t xml:space="preserve">Brake</t>
  </si>
  <si>
    <t xml:space="preserve">TS-044</t>
  </si>
  <si>
    <t xml:space="preserve">Tampering with Brake</t>
  </si>
  <si>
    <t xml:space="preserve">TS-045</t>
  </si>
  <si>
    <t xml:space="preserve">Repudiation of Brake actions</t>
  </si>
  <si>
    <t xml:space="preserve">TS-046</t>
  </si>
  <si>
    <t xml:space="preserve">Information disclosure from Brake</t>
  </si>
  <si>
    <t xml:space="preserve">TS-047</t>
  </si>
  <si>
    <t xml:space="preserve">Denial of service of Brake</t>
  </si>
  <si>
    <t xml:space="preserve">TS-048</t>
  </si>
  <si>
    <t xml:space="preserve">Elevation of privilege on Brake</t>
  </si>
  <si>
    <t xml:space="preserve">TS-049</t>
  </si>
  <si>
    <t xml:space="preserve">Spoofing of Throttle</t>
  </si>
  <si>
    <t xml:space="preserve">Throttle</t>
  </si>
  <si>
    <t xml:space="preserve">TS-050</t>
  </si>
  <si>
    <t xml:space="preserve">Tampering with Throttle</t>
  </si>
  <si>
    <t xml:space="preserve">TS-051</t>
  </si>
  <si>
    <t xml:space="preserve">Repudiation of Throttle actions</t>
  </si>
  <si>
    <t xml:space="preserve">TS-052</t>
  </si>
  <si>
    <t xml:space="preserve">Information disclosure from Throttle</t>
  </si>
  <si>
    <t xml:space="preserve">TS-053</t>
  </si>
  <si>
    <t xml:space="preserve">Denial of service of Throttle</t>
  </si>
  <si>
    <t xml:space="preserve">TS-054</t>
  </si>
  <si>
    <t xml:space="preserve">Elevation of privilege on Throttle</t>
  </si>
  <si>
    <t xml:space="preserve">TS-055</t>
  </si>
  <si>
    <t xml:space="preserve">Spoofing of AEB</t>
  </si>
  <si>
    <t xml:space="preserve">AEB</t>
  </si>
  <si>
    <t xml:space="preserve">TS-056</t>
  </si>
  <si>
    <t xml:space="preserve">Tampering with AEB</t>
  </si>
  <si>
    <t xml:space="preserve">TS-057</t>
  </si>
  <si>
    <t xml:space="preserve">Repudiation of AEB actions</t>
  </si>
  <si>
    <t xml:space="preserve">TS-058</t>
  </si>
  <si>
    <t xml:space="preserve">Information disclosure from AEB</t>
  </si>
  <si>
    <t xml:space="preserve">TS-059</t>
  </si>
  <si>
    <t xml:space="preserve">Denial of service of AEB</t>
  </si>
  <si>
    <t xml:space="preserve">TS-060</t>
  </si>
  <si>
    <t xml:space="preserve">Elevation of privilege on AEB</t>
  </si>
  <si>
    <t xml:space="preserve">TS-061</t>
  </si>
  <si>
    <t xml:space="preserve">Spoofing of data flow C Out → PM In</t>
  </si>
  <si>
    <t xml:space="preserve">C Out → PM In (Camera → Perception Module)</t>
  </si>
  <si>
    <t xml:space="preserve">TS-062</t>
  </si>
  <si>
    <t xml:space="preserve">Tampering with data flow C Out → PM In</t>
  </si>
  <si>
    <t xml:space="preserve">TS-063</t>
  </si>
  <si>
    <t xml:space="preserve">Repudiation of data flow C Out → PM In actions</t>
  </si>
  <si>
    <t xml:space="preserve">TS-064</t>
  </si>
  <si>
    <t xml:space="preserve">Information disclosure from data flow C Out → PM In</t>
  </si>
  <si>
    <t xml:space="preserve">TS-065</t>
  </si>
  <si>
    <t xml:space="preserve">Denial of service of data flow C Out → PM In</t>
  </si>
  <si>
    <t xml:space="preserve">TS-066</t>
  </si>
  <si>
    <t xml:space="preserve">Elevation of privilege on data flow C Out → PM In</t>
  </si>
  <si>
    <t xml:space="preserve">TS-067</t>
  </si>
  <si>
    <t xml:space="preserve">Spoofing of data flow R Out → PM In</t>
  </si>
  <si>
    <t xml:space="preserve">R Out → PM In (Radar → Perception Module)</t>
  </si>
  <si>
    <t xml:space="preserve">TS-068</t>
  </si>
  <si>
    <t xml:space="preserve">Tampering with data flow R Out → PM In</t>
  </si>
  <si>
    <t xml:space="preserve">TS-069</t>
  </si>
  <si>
    <t xml:space="preserve">Repudiation of data flow R Out → PM In actions</t>
  </si>
  <si>
    <t xml:space="preserve">TS-070</t>
  </si>
  <si>
    <t xml:space="preserve">Information disclosure from data flow R Out → PM In</t>
  </si>
  <si>
    <t xml:space="preserve">TS-071</t>
  </si>
  <si>
    <t xml:space="preserve">Denial of service of data flow R Out → PM In</t>
  </si>
  <si>
    <t xml:space="preserve">TS-072</t>
  </si>
  <si>
    <t xml:space="preserve">Elevation of privilege on data flow R Out → PM In</t>
  </si>
  <si>
    <t xml:space="preserve">TS-073</t>
  </si>
  <si>
    <t xml:space="preserve">Spoofing of data flow L Out → PM In</t>
  </si>
  <si>
    <t xml:space="preserve">L Out → PM In (LIDAR → Perception Module)</t>
  </si>
  <si>
    <t xml:space="preserve">TS-074</t>
  </si>
  <si>
    <t xml:space="preserve">Tampering with data flow L Out → PM In</t>
  </si>
  <si>
    <t xml:space="preserve">TS-075</t>
  </si>
  <si>
    <t xml:space="preserve">Repudiation of data flow L Out → PM In actions</t>
  </si>
  <si>
    <t xml:space="preserve">TS-076</t>
  </si>
  <si>
    <t xml:space="preserve">Information disclosure from data flow L Out → PM In</t>
  </si>
  <si>
    <t xml:space="preserve">TS-077</t>
  </si>
  <si>
    <t xml:space="preserve">Denial of service of data flow L Out → PM In</t>
  </si>
  <si>
    <t xml:space="preserve">TS-078</t>
  </si>
  <si>
    <t xml:space="preserve">Elevation of privilege on data flow L Out → PM In</t>
  </si>
  <si>
    <t xml:space="preserve">TS-079</t>
  </si>
  <si>
    <t xml:space="preserve">Spoofing of data flow OBU Out → PM In</t>
  </si>
  <si>
    <t xml:space="preserve">OBU Out → PM In (OBU → Perception Module)</t>
  </si>
  <si>
    <t xml:space="preserve">TS-080</t>
  </si>
  <si>
    <t xml:space="preserve">Tampering with data flow OBU Out → PM In</t>
  </si>
  <si>
    <t xml:space="preserve">TS-081</t>
  </si>
  <si>
    <t xml:space="preserve">Repudiation of data flow OBU Out → PM In actions</t>
  </si>
  <si>
    <t xml:space="preserve">TS-082</t>
  </si>
  <si>
    <t xml:space="preserve">Information disclosure from data flow OBU Out → PM In</t>
  </si>
  <si>
    <t xml:space="preserve">TS-083</t>
  </si>
  <si>
    <t xml:space="preserve">Denial of service of data flow OBU Out → PM In</t>
  </si>
  <si>
    <t xml:space="preserve">TS-084</t>
  </si>
  <si>
    <t xml:space="preserve">Elevation of privilege on data flow OBU Out → PM In</t>
  </si>
  <si>
    <t xml:space="preserve">TS-085</t>
  </si>
  <si>
    <t xml:space="preserve">Spoofing of data flow PM Out → AI In</t>
  </si>
  <si>
    <t xml:space="preserve">PM Out → AI In (Perception Module → AI Controller Module)</t>
  </si>
  <si>
    <t xml:space="preserve">TS-086</t>
  </si>
  <si>
    <t xml:space="preserve">Tampering with data flow PM Out → AI In</t>
  </si>
  <si>
    <t xml:space="preserve">TS-087</t>
  </si>
  <si>
    <t xml:space="preserve">Repudiation of data flow PM Out → AI In actions</t>
  </si>
  <si>
    <t xml:space="preserve">TS-088</t>
  </si>
  <si>
    <t xml:space="preserve">Information disclosure from data flow PM Out → AI In</t>
  </si>
  <si>
    <t xml:space="preserve">TS-089</t>
  </si>
  <si>
    <t xml:space="preserve">Denial of service of data flow PM Out → AI In</t>
  </si>
  <si>
    <t xml:space="preserve">TS-090</t>
  </si>
  <si>
    <t xml:space="preserve">Elevation of privilege on data flow PM Out → AI In</t>
  </si>
  <si>
    <t xml:space="preserve">TS-091</t>
  </si>
  <si>
    <t xml:space="preserve">Spoofing of data flow AI Out → AM In</t>
  </si>
  <si>
    <t xml:space="preserve">AI Out → AM In (AI Controller Module → Actuation Module)</t>
  </si>
  <si>
    <t xml:space="preserve">TS-092</t>
  </si>
  <si>
    <t xml:space="preserve">Tampering with data flow AI Out → AM In</t>
  </si>
  <si>
    <t xml:space="preserve">TS-093</t>
  </si>
  <si>
    <t xml:space="preserve">Repudiation of data flow AI Out → AM In actions</t>
  </si>
  <si>
    <t xml:space="preserve">TS-094</t>
  </si>
  <si>
    <t xml:space="preserve">Information disclosure from data flow AI Out → AM In</t>
  </si>
  <si>
    <t xml:space="preserve">TS-095</t>
  </si>
  <si>
    <t xml:space="preserve">Denial of service of data flow AI Out → AM In</t>
  </si>
  <si>
    <t xml:space="preserve">TS-096</t>
  </si>
  <si>
    <t xml:space="preserve">Elevation of privilege on data flow AI Out → AM In</t>
  </si>
  <si>
    <t xml:space="preserve">TS-097</t>
  </si>
  <si>
    <t xml:space="preserve">Spoofing of data flow AM Out → B In</t>
  </si>
  <si>
    <t xml:space="preserve">AM Out → B In (Actuation Module → Brake)</t>
  </si>
  <si>
    <t xml:space="preserve">TS-098</t>
  </si>
  <si>
    <t xml:space="preserve">Tampering with data flow AM Out → B In</t>
  </si>
  <si>
    <t xml:space="preserve">TS-099</t>
  </si>
  <si>
    <t xml:space="preserve">Repudiation of data flow AM Out → B In actions</t>
  </si>
  <si>
    <t xml:space="preserve">TS-100</t>
  </si>
  <si>
    <t xml:space="preserve">Information disclosure from data flow AM Out → B In</t>
  </si>
  <si>
    <t xml:space="preserve">TS-101</t>
  </si>
  <si>
    <t xml:space="preserve">Denial of service of data flow AM Out → B In</t>
  </si>
  <si>
    <t xml:space="preserve">TS-102</t>
  </si>
  <si>
    <t xml:space="preserve">Elevation of privilege on data flow AM Out → B In</t>
  </si>
  <si>
    <t xml:space="preserve">TS-103</t>
  </si>
  <si>
    <t xml:space="preserve">Spoofing of data flow AM Out → T In</t>
  </si>
  <si>
    <t xml:space="preserve">AM Out → T In (Actuation Module → Throttle)</t>
  </si>
  <si>
    <t xml:space="preserve">TS-104</t>
  </si>
  <si>
    <t xml:space="preserve">Tampering with data flow AM Out → T In</t>
  </si>
  <si>
    <t xml:space="preserve">TS-105</t>
  </si>
  <si>
    <t xml:space="preserve">Repudiation of data flow AM Out → T In actions</t>
  </si>
  <si>
    <t xml:space="preserve">TS-106</t>
  </si>
  <si>
    <t xml:space="preserve">Information disclosure from data flow AM Out → T In</t>
  </si>
  <si>
    <t xml:space="preserve">TS-107</t>
  </si>
  <si>
    <t xml:space="preserve">Denial of service of data flow AM Out → T In</t>
  </si>
  <si>
    <t xml:space="preserve">TS-108</t>
  </si>
  <si>
    <t xml:space="preserve">Elevation of privilege on data flow AM Out → T In</t>
  </si>
  <si>
    <t xml:space="preserve">TS-109</t>
  </si>
  <si>
    <t xml:space="preserve">Spoofing of data flow AM Out → AEB In</t>
  </si>
  <si>
    <t xml:space="preserve">AM Out → AEB In (Actuation Module → AEB)</t>
  </si>
  <si>
    <t xml:space="preserve">TS-110</t>
  </si>
  <si>
    <t xml:space="preserve">Tampering with data flow AM Out → AEB In</t>
  </si>
  <si>
    <t xml:space="preserve">TS-111</t>
  </si>
  <si>
    <t xml:space="preserve">Repudiation of data flow AM Out → AEB In actions</t>
  </si>
  <si>
    <t xml:space="preserve">TS-112</t>
  </si>
  <si>
    <t xml:space="preserve">Information disclosure from data flow AM Out → AEB In</t>
  </si>
  <si>
    <t xml:space="preserve">TS-113</t>
  </si>
  <si>
    <t xml:space="preserve">Denial of service of data flow AM Out → AEB In</t>
  </si>
  <si>
    <t xml:space="preserve">TS-114</t>
  </si>
  <si>
    <t xml:space="preserve">Elevation of privilege on data flow AM Out → AEB In</t>
  </si>
  <si>
    <t xml:space="preserve">Element Type</t>
  </si>
  <si>
    <t xml:space="preserve">Security Property</t>
  </si>
  <si>
    <t xml:space="preserve">Rationale</t>
  </si>
  <si>
    <t xml:space="preserve">Software Unit (Upper Level: Data Acquisition &amp; Preprocessing + AI Decision Engine)</t>
  </si>
  <si>
    <t xml:space="preserve">Authenticity</t>
  </si>
  <si>
    <t xml:space="preserve">An attacker node impersonates the AI Controller and sends forged speed/distance commands to the Actuation Module.</t>
  </si>
  <si>
    <t xml:space="preserve">Integrity</t>
  </si>
  <si>
    <t xml:space="preserve">Manipulation of the AI model (weights, poisoned training or update data) or of ACC parameters such as set speed and time gap, leading to unsafe decisions.</t>
  </si>
  <si>
    <t xml:space="preserve">Non-repudiation</t>
  </si>
  <si>
    <t xml:space="preserve">Without secured logging of AI decisions and model updates, unsafe acceleration/braking or a malicious model update cannot be attributed or reconstructed after an incident.</t>
  </si>
  <si>
    <t xml:space="preserve">Confidentiality</t>
  </si>
  <si>
    <t xml:space="preserve">Extraction of the AI model (model stealing or inversion) or of logged driving data through debug, diagnostic or update interfaces.</t>
  </si>
  <si>
    <t xml:space="preserve">Availability</t>
  </si>
  <si>
    <t xml:space="preserve">Resource exhaustion (inputs crafted to maximize inference latency, message flooding) delays or stops ACC decisions.</t>
  </si>
  <si>
    <t xml:space="preserve">Authorization</t>
  </si>
  <si>
    <t xml:space="preserve">Exploiting a software vulnerability gives the attacker elevated rights (e.g., diagnostic or update functions) and full control over longitudinal decisions.</t>
  </si>
  <si>
    <t xml:space="preserve">Component (Lower Level)</t>
  </si>
  <si>
    <t xml:space="preserve">An attacker impersonates the Perception Module and feeds a fabricated environment model (fake or missing vehicles) to the AI Controller.</t>
  </si>
  <si>
    <t xml:space="preserve">Modification of sensor fusion software, calibration or object tracking parameters causes wrong distance and relative speed estimates.</t>
  </si>
  <si>
    <t xml:space="preserve">The module performs no user-initiated or accountable actions; traceability of decisions is assessed at the AI Controller Module.</t>
  </si>
  <si>
    <t xml:space="preserve">Access to fused sensor data (including camera-derived personal data) or reverse engineering of proprietary fusion algorithms.</t>
  </si>
  <si>
    <t xml:space="preserve">Overload or crash of the module (e.g., flooding its inputs) removes the environment model the ACC depends on.</t>
  </si>
  <si>
    <t xml:space="preserve">Exploiting a vulnerability in the perception software grants code execution and control over every object reported upstream.</t>
  </si>
  <si>
    <t xml:space="preserve">Sensor</t>
  </si>
  <si>
    <t xml:space="preserve">Adversarial or projected images (phantom vehicles, manipulated road markings) make the camera report non-existent or wrong objects.</t>
  </si>
  <si>
    <t xml:space="preserve">Physical tampering (misalignment, lens obstruction, recalibration) or firmware modification of the camera unit.</t>
  </si>
  <si>
    <t xml:space="preserve">A sensor performs no accountable actions and has no user identity; repudiation does not apply.</t>
  </si>
  <si>
    <t xml:space="preserve">The camera does not store confidential data; disclosure of the image stream is assessed on data flow C Out → PM In.</t>
  </si>
  <si>
    <t xml:space="preserve">Blinding with strong light or lasers, covering the lens or cutting power makes the camera unavailable.</t>
  </si>
  <si>
    <t xml:space="preserve">Modeled as a sensor without a privileged software environment; there are no privilege levels to escalate.</t>
  </si>
  <si>
    <t xml:space="preserve">Radar spoofing or replay creates ghost targets or shifts the measured distance and relative speed of the lead vehicle.</t>
  </si>
  <si>
    <t xml:space="preserve">Physical misalignment or firmware/calibration manipulation distorts range and velocity measurements.</t>
  </si>
  <si>
    <t xml:space="preserve">Radar returns contain no confidential or personal data.</t>
  </si>
  <si>
    <t xml:space="preserve">Radar jamming or absorbing covers suppress detection of the lead vehicle.</t>
  </si>
  <si>
    <t xml:space="preserve">Injected laser pulses create fake points/objects or hide real obstacles.</t>
  </si>
  <si>
    <t xml:space="preserve">Physical tampering or manipulation of LIDAR firmware/calibration corrupts the point cloud.</t>
  </si>
  <si>
    <t xml:space="preserve">Point clouds contain no confidential or personal data.</t>
  </si>
  <si>
    <t xml:space="preserve">Saturating or blinding the receiver with laser light removes valid returns.</t>
  </si>
  <si>
    <t xml:space="preserve">Hardware Part (V2X On-Board Unit)</t>
  </si>
  <si>
    <t xml:space="preserve">Forged V2X messages (fake braking or position data from a non-existent vehicle, Sybil attack) or impersonation of the OBU with stolen credentials.</t>
  </si>
  <si>
    <t xml:space="preserve">Modification of OBU firmware or of received/transmitted V2X messages.</t>
  </si>
  <si>
    <t xml:space="preserve">A malicious V2X sender can deny having sent false messages if messages are not signed and logged; non-repudiation is needed for misbehavior reporting.</t>
  </si>
  <si>
    <t xml:space="preserve">Extraction of V2X keys and certificates, or disclosure of vehicle identity and location history (privacy).</t>
  </si>
  <si>
    <t xml:space="preserve">Radio jamming or flooding with V2X messages makes cooperative data unavailable.</t>
  </si>
  <si>
    <t xml:space="preserve">The OBU is an external wireless entry point; a remotely exploitable vulnerability can give code execution and a pivot into the vehicle network.</t>
  </si>
  <si>
    <t xml:space="preserve">An attacker node impersonates the Actuation Module and sends forged commands directly to brake, throttle or AEB.</t>
  </si>
  <si>
    <t xml:space="preserve">Manipulation of actuation logic or limits (e.g., maximum deceleration or torque) so that decisions are applied incorrectly.</t>
  </si>
  <si>
    <t xml:space="preserve">The module executes commands from the AI Controller; accountability for those decisions is assessed at the AI Controller Module.</t>
  </si>
  <si>
    <t xml:space="preserve">The module handles control commands with no confidentiality requirement.</t>
  </si>
  <si>
    <t xml:space="preserve">Crash or overload of the module prevents braking and acceleration commands from being applied.</t>
  </si>
  <si>
    <t xml:space="preserve">Exploiting the module's software gives direct control over brake and throttle, bypassing the AI Controller's decisions.</t>
  </si>
  <si>
    <t xml:space="preserve">Actuator</t>
  </si>
  <si>
    <t xml:space="preserve">The brake only receives commands (B In) and sends no data in this model; spoofed brake commands are assessed under spoofing of the Actuation Module.</t>
  </si>
  <si>
    <t xml:space="preserve">Physical or firmware tampering with the brake actuator changes the applied braking force.</t>
  </si>
  <si>
    <t xml:space="preserve">An actuator performs no accountable actions of its own; accountability for commands is covered at the AI Controller Module.</t>
  </si>
  <si>
    <t xml:space="preserve">The actuator holds and receives no confidential or personal data.</t>
  </si>
  <si>
    <t xml:space="preserve">Disabling or blocking the brake actuator prevents deceleration when the ACC requests it.</t>
  </si>
  <si>
    <t xml:space="preserve">Modeled as an actuator/hardware part without a privileged software environment; there are no privilege levels to escalate.</t>
  </si>
  <si>
    <t xml:space="preserve">The throttle only receives commands (T In) and sends no data in this model; spoofed throttle commands are assessed under spoofing of the Actuation Module.</t>
  </si>
  <si>
    <t xml:space="preserve">Physical or firmware tampering with the throttle actuator changes the applied engine torque (e.g., unintended acceleration).</t>
  </si>
  <si>
    <t xml:space="preserve">Disabling the throttle actuator prevents the ACC from controlling vehicle speed.</t>
  </si>
  <si>
    <t xml:space="preserve">Hardware Part (Autonomous Emergency Braking)</t>
  </si>
  <si>
    <t xml:space="preserve">The AEB only receives activation input (AEB In) and sends no data in this model; spoofed activation commands are assessed under spoofing of the Actuation Module.</t>
  </si>
  <si>
    <t xml:space="preserve">Tampering with AEB hardware or firmware can suppress needed emergency braking or trigger phantom braking.</t>
  </si>
  <si>
    <t xml:space="preserve">Disabling the AEB removes the last safety barrier against a collision.</t>
  </si>
  <si>
    <t xml:space="preserve">Data Flow (Connector)</t>
  </si>
  <si>
    <t xml:space="preserve">Per STRIDE-per-element, spoofing is assessed on the sending element (Camera), not on the data flow itself.</t>
  </si>
  <si>
    <t xml:space="preserve">Manipulating the image stream on the link (frame injection, man-in-the-middle device) feeds false images to perception.</t>
  </si>
  <si>
    <t xml:space="preserve">A data flow performs no actions; repudiation does not apply.</t>
  </si>
  <si>
    <t xml:space="preserve">The image stream contains personal data (faces, license plates, locations) that can be captured by eavesdropping on the link.</t>
  </si>
  <si>
    <t xml:space="preserve">Interrupting or flooding the camera link removes camera input to perception.</t>
  </si>
  <si>
    <t xml:space="preserve">A data flow has no privileges; elevation of privilege does not apply.</t>
  </si>
  <si>
    <t xml:space="preserve">Per STRIDE-per-element, spoofing is assessed on the sending element (Radar), not on the data flow itself.</t>
  </si>
  <si>
    <t xml:space="preserve">Modifying radar target data in transit changes the reported distance or relative speed of the lead vehicle.</t>
  </si>
  <si>
    <t xml:space="preserve">Radar target data contains no confidential or personal data.</t>
  </si>
  <si>
    <t xml:space="preserve">Interrupting or flooding the radar link removes radar input to perception.</t>
  </si>
  <si>
    <t xml:space="preserve">Per STRIDE-per-element, spoofing is assessed on the sending element (LIDAR), not on the data flow itself.</t>
  </si>
  <si>
    <t xml:space="preserve">Modifying point cloud data in transit adds or removes obstacles.</t>
  </si>
  <si>
    <t xml:space="preserve">Point cloud data contains no confidential or personal data.</t>
  </si>
  <si>
    <t xml:space="preserve">Interrupting or flooding the LIDAR link removes LIDAR input to perception.</t>
  </si>
  <si>
    <t xml:space="preserve">Per STRIDE-per-element, spoofing is assessed on the sending element (OBU), not on the data flow itself.</t>
  </si>
  <si>
    <t xml:space="preserve">Modifying V2X-derived data between OBU and perception (altered position or speed of other vehicles).</t>
  </si>
  <si>
    <t xml:space="preserve">V2X data includes position, speed and identifiers of the ego and surrounding vehicles (privacy).</t>
  </si>
  <si>
    <t xml:space="preserve">Blocking or flooding the link removes cooperative V2X data.</t>
  </si>
  <si>
    <t xml:space="preserve">Per STRIDE-per-element, spoofing is assessed on the sending element (Perception Module), not on the data flow itself.</t>
  </si>
  <si>
    <t xml:space="preserve">Manipulating the environment model in transit (removing the lead vehicle, changing its distance) makes the AI accelerate or fail to brake.</t>
  </si>
  <si>
    <t xml:space="preserve">The environment model has no confidentiality requirement; camera personal data is assessed on C Out → PM In.</t>
  </si>
  <si>
    <t xml:space="preserve">Flooding or interrupting the link starves the AI Controller of input.</t>
  </si>
  <si>
    <t xml:space="preserve">Per STRIDE-per-element, spoofing is assessed on the sending element (AI Controller Module), not on the data flow itself.</t>
  </si>
  <si>
    <t xml:space="preserve">Modifying speed/acceleration requests in transit causes unintended acceleration or braking.</t>
  </si>
  <si>
    <t xml:space="preserve">Control commands have no confidentiality requirement.</t>
  </si>
  <si>
    <t xml:space="preserve">Blocking or delaying commands prevents ACC decisions from being applied.</t>
  </si>
  <si>
    <t xml:space="preserve">Per STRIDE-per-element, spoofing is assessed on the sending element (Actuation Module), not on the data flow itself.</t>
  </si>
  <si>
    <t xml:space="preserve">Altered brake commands cause unintended, excessive or missing braking.</t>
  </si>
  <si>
    <t xml:space="preserve">The transmitted data has no confidentiality requirement.</t>
  </si>
  <si>
    <t xml:space="preserve">Blocking brake commands prevents deceleration.</t>
  </si>
  <si>
    <t xml:space="preserve">Altered throttle commands cause unintended acceleration or loss of speed control.</t>
  </si>
  <si>
    <t xml:space="preserve">Blocking throttle commands prevents speed control.</t>
  </si>
  <si>
    <t xml:space="preserve">Altered AEB activation signals trigger phantom emergency braking or suppress needed braking.</t>
  </si>
  <si>
    <t xml:space="preserve">Blocking AEB activation signals prevents emergency braking.</t>
  </si>
  <si>
    <t xml:space="preserve">To Be Assessed = TRUE</t>
  </si>
  <si>
    <t xml:space="preserve">To Be Assessed = FALSE</t>
  </si>
  <si>
    <t xml:space="preserve">Total</t>
  </si>
  <si>
    <t xml:space="preserve">Notes</t>
  </si>
  <si>
    <t xml:space="preserve">Method: STRIDE applied to every element and connector of the medini analyze architecture model (10 elements, 9 data flows, 6 categories each = 114 threat scenarios).</t>
  </si>
  <si>
    <t xml:space="preserve">STRIDE → security property mapping: Spoofing/Authenticity, Tampering/Integrity, Repudiation/Non-repudiation, Information Disclosure/Confidentiality, Denial of Service/Availability, Elevation of Privilege/Authorization.</t>
  </si>
  <si>
    <t xml:space="preserve">To Be Assessed = TRUE means the threat is relevant and goes on to risk assessment (impact and attack feasibility); FALSE means not applicable, with the reason on the Rationale sheet.</t>
  </si>
  <si>
    <t xml:space="preserve">Data flows follow STRIDE-per-element (Tampering, Information Disclosure, Denial of Service); spoofing on a flow is assessed on its sending element.</t>
  </si>
  <si>
    <t xml:space="preserve">Scope: only elements present in the medini model. The general architecture's direct Perception → Actuation path and the Continuous Vehicle Dynamics Monitoring Module loop are not modeled in medini and are excluded.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</si>
</sst>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2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s">
        <v>7</v>
      </c>
      <c r="D2" s="4" t="b">
        <f aca="false">TRUE()</f>
        <v>1</v>
      </c>
      <c r="E2" s="3" t="s">
        <v>8</v>
      </c>
    </row>
    <row r="3" customFormat="false" ht="15" hidden="false" customHeight="false" outlineLevel="0" collapsed="false">
      <c r="A3" s="2" t="s">
        <v>9</v>
      </c>
      <c r="B3" s="3" t="s">
        <v>10</v>
      </c>
      <c r="C3" s="3" t="s">
        <v>7</v>
      </c>
      <c r="D3" s="4" t="b">
        <f aca="false">TRUE()</f>
        <v>1</v>
      </c>
      <c r="E3" s="3" t="s">
        <v>11</v>
      </c>
    </row>
    <row r="4" customFormat="false" ht="15" hidden="false" customHeight="false" outlineLevel="0" collapsed="false">
      <c r="A4" s="2" t="s">
        <v>12</v>
      </c>
      <c r="B4" s="3" t="s">
        <v>13</v>
      </c>
      <c r="C4" s="3" t="s">
        <v>7</v>
      </c>
      <c r="D4" s="4" t="b">
        <f aca="false">TRUE()</f>
        <v>1</v>
      </c>
      <c r="E4" s="3" t="s">
        <v>14</v>
      </c>
    </row>
    <row r="5" customFormat="false" ht="15" hidden="false" customHeight="false" outlineLevel="0" collapsed="false">
      <c r="A5" s="2" t="s">
        <v>15</v>
      </c>
      <c r="B5" s="3" t="s">
        <v>16</v>
      </c>
      <c r="C5" s="3" t="s">
        <v>7</v>
      </c>
      <c r="D5" s="4" t="b">
        <f aca="false">TRUE()</f>
        <v>1</v>
      </c>
      <c r="E5" s="3" t="s">
        <v>17</v>
      </c>
    </row>
    <row r="6" customFormat="false" ht="15" hidden="false" customHeight="false" outlineLevel="0" collapsed="false">
      <c r="A6" s="2" t="s">
        <v>18</v>
      </c>
      <c r="B6" s="3" t="s">
        <v>19</v>
      </c>
      <c r="C6" s="3" t="s">
        <v>7</v>
      </c>
      <c r="D6" s="4" t="b">
        <f aca="false">TRUE()</f>
        <v>1</v>
      </c>
      <c r="E6" s="3" t="s">
        <v>20</v>
      </c>
    </row>
    <row r="7" customFormat="false" ht="15" hidden="false" customHeight="false" outlineLevel="0" collapsed="false">
      <c r="A7" s="2" t="s">
        <v>21</v>
      </c>
      <c r="B7" s="3" t="s">
        <v>22</v>
      </c>
      <c r="C7" s="3" t="s">
        <v>7</v>
      </c>
      <c r="D7" s="4" t="b">
        <f aca="false">TRUE()</f>
        <v>1</v>
      </c>
      <c r="E7" s="3" t="s">
        <v>23</v>
      </c>
    </row>
    <row r="8" customFormat="false" ht="15" hidden="false" customHeight="false" outlineLevel="0" collapsed="false">
      <c r="A8" s="2" t="s">
        <v>24</v>
      </c>
      <c r="B8" s="3" t="s">
        <v>25</v>
      </c>
      <c r="C8" s="3" t="s">
        <v>26</v>
      </c>
      <c r="D8" s="4" t="b">
        <f aca="false">TRUE()</f>
        <v>1</v>
      </c>
      <c r="E8" s="3" t="s">
        <v>8</v>
      </c>
    </row>
    <row r="9" customFormat="false" ht="15" hidden="false" customHeight="false" outlineLevel="0" collapsed="false">
      <c r="A9" s="2" t="s">
        <v>27</v>
      </c>
      <c r="B9" s="3" t="s">
        <v>28</v>
      </c>
      <c r="C9" s="3" t="s">
        <v>26</v>
      </c>
      <c r="D9" s="4" t="b">
        <f aca="false">TRUE()</f>
        <v>1</v>
      </c>
      <c r="E9" s="3" t="s">
        <v>11</v>
      </c>
    </row>
    <row r="10" customFormat="false" ht="15" hidden="false" customHeight="false" outlineLevel="0" collapsed="false">
      <c r="A10" s="2" t="s">
        <v>29</v>
      </c>
      <c r="B10" s="3" t="s">
        <v>30</v>
      </c>
      <c r="C10" s="3" t="s">
        <v>26</v>
      </c>
      <c r="D10" s="5" t="b">
        <f aca="false">FALSE()</f>
        <v>0</v>
      </c>
      <c r="E10" s="3" t="s">
        <v>14</v>
      </c>
    </row>
    <row r="11" customFormat="false" ht="15" hidden="false" customHeight="false" outlineLevel="0" collapsed="false">
      <c r="A11" s="2" t="s">
        <v>31</v>
      </c>
      <c r="B11" s="3" t="s">
        <v>32</v>
      </c>
      <c r="C11" s="3" t="s">
        <v>26</v>
      </c>
      <c r="D11" s="4" t="b">
        <f aca="false">TRUE()</f>
        <v>1</v>
      </c>
      <c r="E11" s="3" t="s">
        <v>17</v>
      </c>
    </row>
    <row r="12" customFormat="false" ht="15" hidden="false" customHeight="false" outlineLevel="0" collapsed="false">
      <c r="A12" s="2" t="s">
        <v>33</v>
      </c>
      <c r="B12" s="3" t="s">
        <v>34</v>
      </c>
      <c r="C12" s="3" t="s">
        <v>26</v>
      </c>
      <c r="D12" s="4" t="b">
        <f aca="false">TRUE()</f>
        <v>1</v>
      </c>
      <c r="E12" s="3" t="s">
        <v>20</v>
      </c>
    </row>
    <row r="13" customFormat="false" ht="15" hidden="false" customHeight="false" outlineLevel="0" collapsed="false">
      <c r="A13" s="2" t="s">
        <v>35</v>
      </c>
      <c r="B13" s="3" t="s">
        <v>36</v>
      </c>
      <c r="C13" s="3" t="s">
        <v>26</v>
      </c>
      <c r="D13" s="4" t="b">
        <f aca="false">TRUE()</f>
        <v>1</v>
      </c>
      <c r="E13" s="3" t="s">
        <v>23</v>
      </c>
    </row>
    <row r="14" customFormat="false" ht="15" hidden="false" customHeight="false" outlineLevel="0" collapsed="false">
      <c r="A14" s="2" t="s">
        <v>37</v>
      </c>
      <c r="B14" s="3" t="s">
        <v>38</v>
      </c>
      <c r="C14" s="3" t="s">
        <v>39</v>
      </c>
      <c r="D14" s="4" t="b">
        <f aca="false">TRUE()</f>
        <v>1</v>
      </c>
      <c r="E14" s="3" t="s">
        <v>8</v>
      </c>
    </row>
    <row r="15" customFormat="false" ht="15" hidden="false" customHeight="false" outlineLevel="0" collapsed="false">
      <c r="A15" s="2" t="s">
        <v>40</v>
      </c>
      <c r="B15" s="3" t="s">
        <v>41</v>
      </c>
      <c r="C15" s="3" t="s">
        <v>39</v>
      </c>
      <c r="D15" s="4" t="b">
        <f aca="false">TRUE()</f>
        <v>1</v>
      </c>
      <c r="E15" s="3" t="s">
        <v>11</v>
      </c>
    </row>
    <row r="16" customFormat="false" ht="15" hidden="false" customHeight="false" outlineLevel="0" collapsed="false">
      <c r="A16" s="2" t="s">
        <v>42</v>
      </c>
      <c r="B16" s="3" t="s">
        <v>43</v>
      </c>
      <c r="C16" s="3" t="s">
        <v>39</v>
      </c>
      <c r="D16" s="5" t="b">
        <f aca="false">FALSE()</f>
        <v>0</v>
      </c>
      <c r="E16" s="3" t="s">
        <v>14</v>
      </c>
    </row>
    <row r="17" customFormat="false" ht="15" hidden="false" customHeight="false" outlineLevel="0" collapsed="false">
      <c r="A17" s="2" t="s">
        <v>44</v>
      </c>
      <c r="B17" s="3" t="s">
        <v>45</v>
      </c>
      <c r="C17" s="3" t="s">
        <v>39</v>
      </c>
      <c r="D17" s="5" t="b">
        <f aca="false">FALSE()</f>
        <v>0</v>
      </c>
      <c r="E17" s="3" t="s">
        <v>17</v>
      </c>
    </row>
    <row r="18" customFormat="false" ht="15" hidden="false" customHeight="false" outlineLevel="0" collapsed="false">
      <c r="A18" s="2" t="s">
        <v>46</v>
      </c>
      <c r="B18" s="3" t="s">
        <v>47</v>
      </c>
      <c r="C18" s="3" t="s">
        <v>39</v>
      </c>
      <c r="D18" s="4" t="b">
        <f aca="false">TRUE()</f>
        <v>1</v>
      </c>
      <c r="E18" s="3" t="s">
        <v>20</v>
      </c>
    </row>
    <row r="19" customFormat="false" ht="15" hidden="false" customHeight="false" outlineLevel="0" collapsed="false">
      <c r="A19" s="2" t="s">
        <v>48</v>
      </c>
      <c r="B19" s="3" t="s">
        <v>49</v>
      </c>
      <c r="C19" s="3" t="s">
        <v>39</v>
      </c>
      <c r="D19" s="5" t="b">
        <f aca="false">FALSE()</f>
        <v>0</v>
      </c>
      <c r="E19" s="3" t="s">
        <v>23</v>
      </c>
    </row>
    <row r="20" customFormat="false" ht="15" hidden="false" customHeight="false" outlineLevel="0" collapsed="false">
      <c r="A20" s="2" t="s">
        <v>50</v>
      </c>
      <c r="B20" s="3" t="s">
        <v>51</v>
      </c>
      <c r="C20" s="3" t="s">
        <v>52</v>
      </c>
      <c r="D20" s="4" t="b">
        <f aca="false">TRUE()</f>
        <v>1</v>
      </c>
      <c r="E20" s="3" t="s">
        <v>8</v>
      </c>
    </row>
    <row r="21" customFormat="false" ht="15" hidden="false" customHeight="false" outlineLevel="0" collapsed="false">
      <c r="A21" s="2" t="s">
        <v>53</v>
      </c>
      <c r="B21" s="3" t="s">
        <v>54</v>
      </c>
      <c r="C21" s="3" t="s">
        <v>52</v>
      </c>
      <c r="D21" s="4" t="b">
        <f aca="false">TRUE()</f>
        <v>1</v>
      </c>
      <c r="E21" s="3" t="s">
        <v>11</v>
      </c>
    </row>
    <row r="22" customFormat="false" ht="15" hidden="false" customHeight="false" outlineLevel="0" collapsed="false">
      <c r="A22" s="2" t="s">
        <v>55</v>
      </c>
      <c r="B22" s="3" t="s">
        <v>56</v>
      </c>
      <c r="C22" s="3" t="s">
        <v>52</v>
      </c>
      <c r="D22" s="5" t="b">
        <f aca="false">FALSE()</f>
        <v>0</v>
      </c>
      <c r="E22" s="3" t="s">
        <v>14</v>
      </c>
    </row>
    <row r="23" customFormat="false" ht="15" hidden="false" customHeight="false" outlineLevel="0" collapsed="false">
      <c r="A23" s="2" t="s">
        <v>57</v>
      </c>
      <c r="B23" s="3" t="s">
        <v>58</v>
      </c>
      <c r="C23" s="3" t="s">
        <v>52</v>
      </c>
      <c r="D23" s="5" t="b">
        <f aca="false">FALSE()</f>
        <v>0</v>
      </c>
      <c r="E23" s="3" t="s">
        <v>17</v>
      </c>
    </row>
    <row r="24" customFormat="false" ht="15" hidden="false" customHeight="false" outlineLevel="0" collapsed="false">
      <c r="A24" s="2" t="s">
        <v>59</v>
      </c>
      <c r="B24" s="3" t="s">
        <v>60</v>
      </c>
      <c r="C24" s="3" t="s">
        <v>52</v>
      </c>
      <c r="D24" s="4" t="b">
        <f aca="false">TRUE()</f>
        <v>1</v>
      </c>
      <c r="E24" s="3" t="s">
        <v>20</v>
      </c>
    </row>
    <row r="25" customFormat="false" ht="15" hidden="false" customHeight="false" outlineLevel="0" collapsed="false">
      <c r="A25" s="2" t="s">
        <v>61</v>
      </c>
      <c r="B25" s="3" t="s">
        <v>62</v>
      </c>
      <c r="C25" s="3" t="s">
        <v>52</v>
      </c>
      <c r="D25" s="5" t="b">
        <f aca="false">FALSE()</f>
        <v>0</v>
      </c>
      <c r="E25" s="3" t="s">
        <v>23</v>
      </c>
    </row>
    <row r="26" customFormat="false" ht="15" hidden="false" customHeight="false" outlineLevel="0" collapsed="false">
      <c r="A26" s="2" t="s">
        <v>63</v>
      </c>
      <c r="B26" s="3" t="s">
        <v>64</v>
      </c>
      <c r="C26" s="3" t="s">
        <v>65</v>
      </c>
      <c r="D26" s="4" t="b">
        <f aca="false">TRUE()</f>
        <v>1</v>
      </c>
      <c r="E26" s="3" t="s">
        <v>8</v>
      </c>
    </row>
    <row r="27" customFormat="false" ht="15" hidden="false" customHeight="false" outlineLevel="0" collapsed="false">
      <c r="A27" s="2" t="s">
        <v>66</v>
      </c>
      <c r="B27" s="3" t="s">
        <v>67</v>
      </c>
      <c r="C27" s="3" t="s">
        <v>65</v>
      </c>
      <c r="D27" s="4" t="b">
        <f aca="false">TRUE()</f>
        <v>1</v>
      </c>
      <c r="E27" s="3" t="s">
        <v>11</v>
      </c>
    </row>
    <row r="28" customFormat="false" ht="15" hidden="false" customHeight="false" outlineLevel="0" collapsed="false">
      <c r="A28" s="2" t="s">
        <v>68</v>
      </c>
      <c r="B28" s="3" t="s">
        <v>69</v>
      </c>
      <c r="C28" s="3" t="s">
        <v>65</v>
      </c>
      <c r="D28" s="5" t="b">
        <f aca="false">FALSE()</f>
        <v>0</v>
      </c>
      <c r="E28" s="3" t="s">
        <v>14</v>
      </c>
    </row>
    <row r="29" customFormat="false" ht="15" hidden="false" customHeight="false" outlineLevel="0" collapsed="false">
      <c r="A29" s="2" t="s">
        <v>70</v>
      </c>
      <c r="B29" s="3" t="s">
        <v>71</v>
      </c>
      <c r="C29" s="3" t="s">
        <v>65</v>
      </c>
      <c r="D29" s="5" t="b">
        <f aca="false">FALSE()</f>
        <v>0</v>
      </c>
      <c r="E29" s="3" t="s">
        <v>17</v>
      </c>
    </row>
    <row r="30" customFormat="false" ht="15" hidden="false" customHeight="false" outlineLevel="0" collapsed="false">
      <c r="A30" s="2" t="s">
        <v>72</v>
      </c>
      <c r="B30" s="3" t="s">
        <v>73</v>
      </c>
      <c r="C30" s="3" t="s">
        <v>65</v>
      </c>
      <c r="D30" s="4" t="b">
        <f aca="false">TRUE()</f>
        <v>1</v>
      </c>
      <c r="E30" s="3" t="s">
        <v>20</v>
      </c>
    </row>
    <row r="31" customFormat="false" ht="15" hidden="false" customHeight="false" outlineLevel="0" collapsed="false">
      <c r="A31" s="2" t="s">
        <v>74</v>
      </c>
      <c r="B31" s="3" t="s">
        <v>75</v>
      </c>
      <c r="C31" s="3" t="s">
        <v>65</v>
      </c>
      <c r="D31" s="5" t="b">
        <f aca="false">FALSE()</f>
        <v>0</v>
      </c>
      <c r="E31" s="3" t="s">
        <v>23</v>
      </c>
    </row>
    <row r="32" customFormat="false" ht="15" hidden="false" customHeight="false" outlineLevel="0" collapsed="false">
      <c r="A32" s="2" t="s">
        <v>76</v>
      </c>
      <c r="B32" s="3" t="s">
        <v>77</v>
      </c>
      <c r="C32" s="3" t="s">
        <v>78</v>
      </c>
      <c r="D32" s="4" t="b">
        <f aca="false">TRUE()</f>
        <v>1</v>
      </c>
      <c r="E32" s="3" t="s">
        <v>8</v>
      </c>
    </row>
    <row r="33" customFormat="false" ht="15" hidden="false" customHeight="false" outlineLevel="0" collapsed="false">
      <c r="A33" s="2" t="s">
        <v>79</v>
      </c>
      <c r="B33" s="3" t="s">
        <v>80</v>
      </c>
      <c r="C33" s="3" t="s">
        <v>78</v>
      </c>
      <c r="D33" s="4" t="b">
        <f aca="false">TRUE()</f>
        <v>1</v>
      </c>
      <c r="E33" s="3" t="s">
        <v>11</v>
      </c>
    </row>
    <row r="34" customFormat="false" ht="15" hidden="false" customHeight="false" outlineLevel="0" collapsed="false">
      <c r="A34" s="2" t="s">
        <v>81</v>
      </c>
      <c r="B34" s="3" t="s">
        <v>82</v>
      </c>
      <c r="C34" s="3" t="s">
        <v>78</v>
      </c>
      <c r="D34" s="4" t="b">
        <f aca="false">TRUE()</f>
        <v>1</v>
      </c>
      <c r="E34" s="3" t="s">
        <v>14</v>
      </c>
    </row>
    <row r="35" customFormat="false" ht="15" hidden="false" customHeight="false" outlineLevel="0" collapsed="false">
      <c r="A35" s="2" t="s">
        <v>83</v>
      </c>
      <c r="B35" s="3" t="s">
        <v>84</v>
      </c>
      <c r="C35" s="3" t="s">
        <v>78</v>
      </c>
      <c r="D35" s="4" t="b">
        <f aca="false">TRUE()</f>
        <v>1</v>
      </c>
      <c r="E35" s="3" t="s">
        <v>17</v>
      </c>
    </row>
    <row r="36" customFormat="false" ht="15" hidden="false" customHeight="false" outlineLevel="0" collapsed="false">
      <c r="A36" s="2" t="s">
        <v>85</v>
      </c>
      <c r="B36" s="3" t="s">
        <v>86</v>
      </c>
      <c r="C36" s="3" t="s">
        <v>78</v>
      </c>
      <c r="D36" s="4" t="b">
        <f aca="false">TRUE()</f>
        <v>1</v>
      </c>
      <c r="E36" s="3" t="s">
        <v>20</v>
      </c>
    </row>
    <row r="37" customFormat="false" ht="15" hidden="false" customHeight="false" outlineLevel="0" collapsed="false">
      <c r="A37" s="2" t="s">
        <v>87</v>
      </c>
      <c r="B37" s="3" t="s">
        <v>88</v>
      </c>
      <c r="C37" s="3" t="s">
        <v>78</v>
      </c>
      <c r="D37" s="4" t="b">
        <f aca="false">TRUE()</f>
        <v>1</v>
      </c>
      <c r="E37" s="3" t="s">
        <v>23</v>
      </c>
    </row>
    <row r="38" customFormat="false" ht="15" hidden="false" customHeight="false" outlineLevel="0" collapsed="false">
      <c r="A38" s="2" t="s">
        <v>89</v>
      </c>
      <c r="B38" s="3" t="s">
        <v>90</v>
      </c>
      <c r="C38" s="3" t="s">
        <v>91</v>
      </c>
      <c r="D38" s="4" t="b">
        <f aca="false">TRUE()</f>
        <v>1</v>
      </c>
      <c r="E38" s="3" t="s">
        <v>8</v>
      </c>
    </row>
    <row r="39" customFormat="false" ht="15" hidden="false" customHeight="false" outlineLevel="0" collapsed="false">
      <c r="A39" s="2" t="s">
        <v>92</v>
      </c>
      <c r="B39" s="3" t="s">
        <v>93</v>
      </c>
      <c r="C39" s="3" t="s">
        <v>91</v>
      </c>
      <c r="D39" s="4" t="b">
        <f aca="false">TRUE()</f>
        <v>1</v>
      </c>
      <c r="E39" s="3" t="s">
        <v>11</v>
      </c>
    </row>
    <row r="40" customFormat="false" ht="15" hidden="false" customHeight="false" outlineLevel="0" collapsed="false">
      <c r="A40" s="2" t="s">
        <v>94</v>
      </c>
      <c r="B40" s="3" t="s">
        <v>95</v>
      </c>
      <c r="C40" s="3" t="s">
        <v>91</v>
      </c>
      <c r="D40" s="5" t="b">
        <f aca="false">FALSE()</f>
        <v>0</v>
      </c>
      <c r="E40" s="3" t="s">
        <v>14</v>
      </c>
    </row>
    <row r="41" customFormat="false" ht="15" hidden="false" customHeight="false" outlineLevel="0" collapsed="false">
      <c r="A41" s="2" t="s">
        <v>96</v>
      </c>
      <c r="B41" s="3" t="s">
        <v>97</v>
      </c>
      <c r="C41" s="3" t="s">
        <v>91</v>
      </c>
      <c r="D41" s="5" t="b">
        <f aca="false">FALSE()</f>
        <v>0</v>
      </c>
      <c r="E41" s="3" t="s">
        <v>17</v>
      </c>
    </row>
    <row r="42" customFormat="false" ht="15" hidden="false" customHeight="false" outlineLevel="0" collapsed="false">
      <c r="A42" s="2" t="s">
        <v>98</v>
      </c>
      <c r="B42" s="3" t="s">
        <v>99</v>
      </c>
      <c r="C42" s="3" t="s">
        <v>91</v>
      </c>
      <c r="D42" s="4" t="b">
        <f aca="false">TRUE()</f>
        <v>1</v>
      </c>
      <c r="E42" s="3" t="s">
        <v>20</v>
      </c>
    </row>
    <row r="43" customFormat="false" ht="15" hidden="false" customHeight="false" outlineLevel="0" collapsed="false">
      <c r="A43" s="2" t="s">
        <v>100</v>
      </c>
      <c r="B43" s="3" t="s">
        <v>101</v>
      </c>
      <c r="C43" s="3" t="s">
        <v>91</v>
      </c>
      <c r="D43" s="4" t="b">
        <f aca="false">TRUE()</f>
        <v>1</v>
      </c>
      <c r="E43" s="3" t="s">
        <v>23</v>
      </c>
    </row>
    <row r="44" customFormat="false" ht="15" hidden="false" customHeight="false" outlineLevel="0" collapsed="false">
      <c r="A44" s="2" t="s">
        <v>102</v>
      </c>
      <c r="B44" s="3" t="s">
        <v>103</v>
      </c>
      <c r="C44" s="3" t="s">
        <v>104</v>
      </c>
      <c r="D44" s="5" t="b">
        <f aca="false">FALSE()</f>
        <v>0</v>
      </c>
      <c r="E44" s="3" t="s">
        <v>8</v>
      </c>
    </row>
    <row r="45" customFormat="false" ht="15" hidden="false" customHeight="false" outlineLevel="0" collapsed="false">
      <c r="A45" s="2" t="s">
        <v>105</v>
      </c>
      <c r="B45" s="3" t="s">
        <v>106</v>
      </c>
      <c r="C45" s="3" t="s">
        <v>104</v>
      </c>
      <c r="D45" s="4" t="b">
        <f aca="false">TRUE()</f>
        <v>1</v>
      </c>
      <c r="E45" s="3" t="s">
        <v>11</v>
      </c>
    </row>
    <row r="46" customFormat="false" ht="15" hidden="false" customHeight="false" outlineLevel="0" collapsed="false">
      <c r="A46" s="2" t="s">
        <v>107</v>
      </c>
      <c r="B46" s="3" t="s">
        <v>108</v>
      </c>
      <c r="C46" s="3" t="s">
        <v>104</v>
      </c>
      <c r="D46" s="5" t="b">
        <f aca="false">FALSE()</f>
        <v>0</v>
      </c>
      <c r="E46" s="3" t="s">
        <v>14</v>
      </c>
    </row>
    <row r="47" customFormat="false" ht="15" hidden="false" customHeight="false" outlineLevel="0" collapsed="false">
      <c r="A47" s="2" t="s">
        <v>109</v>
      </c>
      <c r="B47" s="3" t="s">
        <v>110</v>
      </c>
      <c r="C47" s="3" t="s">
        <v>104</v>
      </c>
      <c r="D47" s="5" t="b">
        <f aca="false">FALSE()</f>
        <v>0</v>
      </c>
      <c r="E47" s="3" t="s">
        <v>17</v>
      </c>
    </row>
    <row r="48" customFormat="false" ht="15" hidden="false" customHeight="false" outlineLevel="0" collapsed="false">
      <c r="A48" s="2" t="s">
        <v>111</v>
      </c>
      <c r="B48" s="3" t="s">
        <v>112</v>
      </c>
      <c r="C48" s="3" t="s">
        <v>104</v>
      </c>
      <c r="D48" s="4" t="b">
        <f aca="false">TRUE()</f>
        <v>1</v>
      </c>
      <c r="E48" s="3" t="s">
        <v>20</v>
      </c>
    </row>
    <row r="49" customFormat="false" ht="15" hidden="false" customHeight="false" outlineLevel="0" collapsed="false">
      <c r="A49" s="2" t="s">
        <v>113</v>
      </c>
      <c r="B49" s="3" t="s">
        <v>114</v>
      </c>
      <c r="C49" s="3" t="s">
        <v>104</v>
      </c>
      <c r="D49" s="5" t="b">
        <f aca="false">FALSE()</f>
        <v>0</v>
      </c>
      <c r="E49" s="3" t="s">
        <v>23</v>
      </c>
    </row>
    <row r="50" customFormat="false" ht="15" hidden="false" customHeight="false" outlineLevel="0" collapsed="false">
      <c r="A50" s="2" t="s">
        <v>115</v>
      </c>
      <c r="B50" s="3" t="s">
        <v>116</v>
      </c>
      <c r="C50" s="3" t="s">
        <v>117</v>
      </c>
      <c r="D50" s="5" t="b">
        <f aca="false">FALSE()</f>
        <v>0</v>
      </c>
      <c r="E50" s="3" t="s">
        <v>8</v>
      </c>
    </row>
    <row r="51" customFormat="false" ht="15" hidden="false" customHeight="false" outlineLevel="0" collapsed="false">
      <c r="A51" s="2" t="s">
        <v>118</v>
      </c>
      <c r="B51" s="3" t="s">
        <v>119</v>
      </c>
      <c r="C51" s="3" t="s">
        <v>117</v>
      </c>
      <c r="D51" s="4" t="b">
        <f aca="false">TRUE()</f>
        <v>1</v>
      </c>
      <c r="E51" s="3" t="s">
        <v>11</v>
      </c>
    </row>
    <row r="52" customFormat="false" ht="15" hidden="false" customHeight="false" outlineLevel="0" collapsed="false">
      <c r="A52" s="2" t="s">
        <v>120</v>
      </c>
      <c r="B52" s="3" t="s">
        <v>121</v>
      </c>
      <c r="C52" s="3" t="s">
        <v>117</v>
      </c>
      <c r="D52" s="5" t="b">
        <f aca="false">FALSE()</f>
        <v>0</v>
      </c>
      <c r="E52" s="3" t="s">
        <v>14</v>
      </c>
    </row>
    <row r="53" customFormat="false" ht="15" hidden="false" customHeight="false" outlineLevel="0" collapsed="false">
      <c r="A53" s="2" t="s">
        <v>122</v>
      </c>
      <c r="B53" s="3" t="s">
        <v>123</v>
      </c>
      <c r="C53" s="3" t="s">
        <v>117</v>
      </c>
      <c r="D53" s="5" t="b">
        <f aca="false">FALSE()</f>
        <v>0</v>
      </c>
      <c r="E53" s="3" t="s">
        <v>17</v>
      </c>
    </row>
    <row r="54" customFormat="false" ht="15" hidden="false" customHeight="false" outlineLevel="0" collapsed="false">
      <c r="A54" s="2" t="s">
        <v>124</v>
      </c>
      <c r="B54" s="3" t="s">
        <v>125</v>
      </c>
      <c r="C54" s="3" t="s">
        <v>117</v>
      </c>
      <c r="D54" s="4" t="b">
        <f aca="false">TRUE()</f>
        <v>1</v>
      </c>
      <c r="E54" s="3" t="s">
        <v>20</v>
      </c>
    </row>
    <row r="55" customFormat="false" ht="15" hidden="false" customHeight="false" outlineLevel="0" collapsed="false">
      <c r="A55" s="2" t="s">
        <v>126</v>
      </c>
      <c r="B55" s="3" t="s">
        <v>127</v>
      </c>
      <c r="C55" s="3" t="s">
        <v>117</v>
      </c>
      <c r="D55" s="5" t="b">
        <f aca="false">FALSE()</f>
        <v>0</v>
      </c>
      <c r="E55" s="3" t="s">
        <v>23</v>
      </c>
    </row>
    <row r="56" customFormat="false" ht="15" hidden="false" customHeight="false" outlineLevel="0" collapsed="false">
      <c r="A56" s="2" t="s">
        <v>128</v>
      </c>
      <c r="B56" s="3" t="s">
        <v>129</v>
      </c>
      <c r="C56" s="3" t="s">
        <v>130</v>
      </c>
      <c r="D56" s="5" t="b">
        <f aca="false">FALSE()</f>
        <v>0</v>
      </c>
      <c r="E56" s="3" t="s">
        <v>8</v>
      </c>
    </row>
    <row r="57" customFormat="false" ht="15" hidden="false" customHeight="false" outlineLevel="0" collapsed="false">
      <c r="A57" s="2" t="s">
        <v>131</v>
      </c>
      <c r="B57" s="3" t="s">
        <v>132</v>
      </c>
      <c r="C57" s="3" t="s">
        <v>130</v>
      </c>
      <c r="D57" s="4" t="b">
        <f aca="false">TRUE()</f>
        <v>1</v>
      </c>
      <c r="E57" s="3" t="s">
        <v>11</v>
      </c>
    </row>
    <row r="58" customFormat="false" ht="15" hidden="false" customHeight="false" outlineLevel="0" collapsed="false">
      <c r="A58" s="2" t="s">
        <v>133</v>
      </c>
      <c r="B58" s="3" t="s">
        <v>134</v>
      </c>
      <c r="C58" s="3" t="s">
        <v>130</v>
      </c>
      <c r="D58" s="5" t="b">
        <f aca="false">FALSE()</f>
        <v>0</v>
      </c>
      <c r="E58" s="3" t="s">
        <v>14</v>
      </c>
    </row>
    <row r="59" customFormat="false" ht="15" hidden="false" customHeight="false" outlineLevel="0" collapsed="false">
      <c r="A59" s="2" t="s">
        <v>135</v>
      </c>
      <c r="B59" s="3" t="s">
        <v>136</v>
      </c>
      <c r="C59" s="3" t="s">
        <v>130</v>
      </c>
      <c r="D59" s="5" t="b">
        <f aca="false">FALSE()</f>
        <v>0</v>
      </c>
      <c r="E59" s="3" t="s">
        <v>17</v>
      </c>
    </row>
    <row r="60" customFormat="false" ht="15" hidden="false" customHeight="false" outlineLevel="0" collapsed="false">
      <c r="A60" s="2" t="s">
        <v>137</v>
      </c>
      <c r="B60" s="3" t="s">
        <v>138</v>
      </c>
      <c r="C60" s="3" t="s">
        <v>130</v>
      </c>
      <c r="D60" s="4" t="b">
        <f aca="false">TRUE()</f>
        <v>1</v>
      </c>
      <c r="E60" s="3" t="s">
        <v>20</v>
      </c>
    </row>
    <row r="61" customFormat="false" ht="15" hidden="false" customHeight="false" outlineLevel="0" collapsed="false">
      <c r="A61" s="2" t="s">
        <v>139</v>
      </c>
      <c r="B61" s="3" t="s">
        <v>140</v>
      </c>
      <c r="C61" s="3" t="s">
        <v>130</v>
      </c>
      <c r="D61" s="5" t="b">
        <f aca="false">FALSE()</f>
        <v>0</v>
      </c>
      <c r="E61" s="3" t="s">
        <v>23</v>
      </c>
    </row>
    <row r="62" customFormat="false" ht="15" hidden="false" customHeight="false" outlineLevel="0" collapsed="false">
      <c r="A62" s="2" t="s">
        <v>141</v>
      </c>
      <c r="B62" s="3" t="s">
        <v>142</v>
      </c>
      <c r="C62" s="3" t="s">
        <v>143</v>
      </c>
      <c r="D62" s="5" t="b">
        <f aca="false">FALSE()</f>
        <v>0</v>
      </c>
      <c r="E62" s="3" t="s">
        <v>8</v>
      </c>
    </row>
    <row r="63" customFormat="false" ht="15" hidden="false" customHeight="false" outlineLevel="0" collapsed="false">
      <c r="A63" s="2" t="s">
        <v>144</v>
      </c>
      <c r="B63" s="3" t="s">
        <v>145</v>
      </c>
      <c r="C63" s="3" t="s">
        <v>143</v>
      </c>
      <c r="D63" s="4" t="b">
        <f aca="false">TRUE()</f>
        <v>1</v>
      </c>
      <c r="E63" s="3" t="s">
        <v>11</v>
      </c>
    </row>
    <row r="64" customFormat="false" ht="15" hidden="false" customHeight="false" outlineLevel="0" collapsed="false">
      <c r="A64" s="2" t="s">
        <v>146</v>
      </c>
      <c r="B64" s="3" t="s">
        <v>147</v>
      </c>
      <c r="C64" s="3" t="s">
        <v>143</v>
      </c>
      <c r="D64" s="5" t="b">
        <f aca="false">FALSE()</f>
        <v>0</v>
      </c>
      <c r="E64" s="3" t="s">
        <v>14</v>
      </c>
    </row>
    <row r="65" customFormat="false" ht="15" hidden="false" customHeight="false" outlineLevel="0" collapsed="false">
      <c r="A65" s="2" t="s">
        <v>148</v>
      </c>
      <c r="B65" s="3" t="s">
        <v>149</v>
      </c>
      <c r="C65" s="3" t="s">
        <v>143</v>
      </c>
      <c r="D65" s="4" t="b">
        <f aca="false">TRUE()</f>
        <v>1</v>
      </c>
      <c r="E65" s="3" t="s">
        <v>17</v>
      </c>
    </row>
    <row r="66" customFormat="false" ht="15" hidden="false" customHeight="false" outlineLevel="0" collapsed="false">
      <c r="A66" s="2" t="s">
        <v>150</v>
      </c>
      <c r="B66" s="3" t="s">
        <v>151</v>
      </c>
      <c r="C66" s="3" t="s">
        <v>143</v>
      </c>
      <c r="D66" s="4" t="b">
        <f aca="false">TRUE()</f>
        <v>1</v>
      </c>
      <c r="E66" s="3" t="s">
        <v>20</v>
      </c>
    </row>
    <row r="67" customFormat="false" ht="15" hidden="false" customHeight="false" outlineLevel="0" collapsed="false">
      <c r="A67" s="2" t="s">
        <v>152</v>
      </c>
      <c r="B67" s="3" t="s">
        <v>153</v>
      </c>
      <c r="C67" s="3" t="s">
        <v>143</v>
      </c>
      <c r="D67" s="5" t="b">
        <f aca="false">FALSE()</f>
        <v>0</v>
      </c>
      <c r="E67" s="3" t="s">
        <v>23</v>
      </c>
    </row>
    <row r="68" customFormat="false" ht="15" hidden="false" customHeight="false" outlineLevel="0" collapsed="false">
      <c r="A68" s="2" t="s">
        <v>154</v>
      </c>
      <c r="B68" s="3" t="s">
        <v>155</v>
      </c>
      <c r="C68" s="3" t="s">
        <v>156</v>
      </c>
      <c r="D68" s="5" t="b">
        <f aca="false">FALSE()</f>
        <v>0</v>
      </c>
      <c r="E68" s="3" t="s">
        <v>8</v>
      </c>
    </row>
    <row r="69" customFormat="false" ht="15" hidden="false" customHeight="false" outlineLevel="0" collapsed="false">
      <c r="A69" s="2" t="s">
        <v>157</v>
      </c>
      <c r="B69" s="3" t="s">
        <v>158</v>
      </c>
      <c r="C69" s="3" t="s">
        <v>156</v>
      </c>
      <c r="D69" s="4" t="b">
        <f aca="false">TRUE()</f>
        <v>1</v>
      </c>
      <c r="E69" s="3" t="s">
        <v>11</v>
      </c>
    </row>
    <row r="70" customFormat="false" ht="15" hidden="false" customHeight="false" outlineLevel="0" collapsed="false">
      <c r="A70" s="2" t="s">
        <v>159</v>
      </c>
      <c r="B70" s="3" t="s">
        <v>160</v>
      </c>
      <c r="C70" s="3" t="s">
        <v>156</v>
      </c>
      <c r="D70" s="5" t="b">
        <f aca="false">FALSE()</f>
        <v>0</v>
      </c>
      <c r="E70" s="3" t="s">
        <v>14</v>
      </c>
    </row>
    <row r="71" customFormat="false" ht="15" hidden="false" customHeight="false" outlineLevel="0" collapsed="false">
      <c r="A71" s="2" t="s">
        <v>161</v>
      </c>
      <c r="B71" s="3" t="s">
        <v>162</v>
      </c>
      <c r="C71" s="3" t="s">
        <v>156</v>
      </c>
      <c r="D71" s="5" t="b">
        <f aca="false">FALSE()</f>
        <v>0</v>
      </c>
      <c r="E71" s="3" t="s">
        <v>17</v>
      </c>
    </row>
    <row r="72" customFormat="false" ht="15" hidden="false" customHeight="false" outlineLevel="0" collapsed="false">
      <c r="A72" s="2" t="s">
        <v>163</v>
      </c>
      <c r="B72" s="3" t="s">
        <v>164</v>
      </c>
      <c r="C72" s="3" t="s">
        <v>156</v>
      </c>
      <c r="D72" s="4" t="b">
        <f aca="false">TRUE()</f>
        <v>1</v>
      </c>
      <c r="E72" s="3" t="s">
        <v>20</v>
      </c>
    </row>
    <row r="73" customFormat="false" ht="15" hidden="false" customHeight="false" outlineLevel="0" collapsed="false">
      <c r="A73" s="2" t="s">
        <v>165</v>
      </c>
      <c r="B73" s="3" t="s">
        <v>166</v>
      </c>
      <c r="C73" s="3" t="s">
        <v>156</v>
      </c>
      <c r="D73" s="5" t="b">
        <f aca="false">FALSE()</f>
        <v>0</v>
      </c>
      <c r="E73" s="3" t="s">
        <v>23</v>
      </c>
    </row>
    <row r="74" customFormat="false" ht="15" hidden="false" customHeight="false" outlineLevel="0" collapsed="false">
      <c r="A74" s="2" t="s">
        <v>167</v>
      </c>
      <c r="B74" s="3" t="s">
        <v>168</v>
      </c>
      <c r="C74" s="3" t="s">
        <v>169</v>
      </c>
      <c r="D74" s="5" t="b">
        <f aca="false">FALSE()</f>
        <v>0</v>
      </c>
      <c r="E74" s="3" t="s">
        <v>8</v>
      </c>
    </row>
    <row r="75" customFormat="false" ht="15" hidden="false" customHeight="false" outlineLevel="0" collapsed="false">
      <c r="A75" s="2" t="s">
        <v>170</v>
      </c>
      <c r="B75" s="3" t="s">
        <v>171</v>
      </c>
      <c r="C75" s="3" t="s">
        <v>169</v>
      </c>
      <c r="D75" s="4" t="b">
        <f aca="false">TRUE()</f>
        <v>1</v>
      </c>
      <c r="E75" s="3" t="s">
        <v>11</v>
      </c>
    </row>
    <row r="76" customFormat="false" ht="15" hidden="false" customHeight="false" outlineLevel="0" collapsed="false">
      <c r="A76" s="2" t="s">
        <v>172</v>
      </c>
      <c r="B76" s="3" t="s">
        <v>173</v>
      </c>
      <c r="C76" s="3" t="s">
        <v>169</v>
      </c>
      <c r="D76" s="5" t="b">
        <f aca="false">FALSE()</f>
        <v>0</v>
      </c>
      <c r="E76" s="3" t="s">
        <v>14</v>
      </c>
    </row>
    <row r="77" customFormat="false" ht="15" hidden="false" customHeight="false" outlineLevel="0" collapsed="false">
      <c r="A77" s="2" t="s">
        <v>174</v>
      </c>
      <c r="B77" s="3" t="s">
        <v>175</v>
      </c>
      <c r="C77" s="3" t="s">
        <v>169</v>
      </c>
      <c r="D77" s="5" t="b">
        <f aca="false">FALSE()</f>
        <v>0</v>
      </c>
      <c r="E77" s="3" t="s">
        <v>17</v>
      </c>
    </row>
    <row r="78" customFormat="false" ht="15" hidden="false" customHeight="false" outlineLevel="0" collapsed="false">
      <c r="A78" s="2" t="s">
        <v>176</v>
      </c>
      <c r="B78" s="3" t="s">
        <v>177</v>
      </c>
      <c r="C78" s="3" t="s">
        <v>169</v>
      </c>
      <c r="D78" s="4" t="b">
        <f aca="false">TRUE()</f>
        <v>1</v>
      </c>
      <c r="E78" s="3" t="s">
        <v>20</v>
      </c>
    </row>
    <row r="79" customFormat="false" ht="15" hidden="false" customHeight="false" outlineLevel="0" collapsed="false">
      <c r="A79" s="2" t="s">
        <v>178</v>
      </c>
      <c r="B79" s="3" t="s">
        <v>179</v>
      </c>
      <c r="C79" s="3" t="s">
        <v>169</v>
      </c>
      <c r="D79" s="5" t="b">
        <f aca="false">FALSE()</f>
        <v>0</v>
      </c>
      <c r="E79" s="3" t="s">
        <v>23</v>
      </c>
    </row>
    <row r="80" customFormat="false" ht="15" hidden="false" customHeight="false" outlineLevel="0" collapsed="false">
      <c r="A80" s="2" t="s">
        <v>180</v>
      </c>
      <c r="B80" s="3" t="s">
        <v>181</v>
      </c>
      <c r="C80" s="3" t="s">
        <v>182</v>
      </c>
      <c r="D80" s="5" t="b">
        <f aca="false">FALSE()</f>
        <v>0</v>
      </c>
      <c r="E80" s="3" t="s">
        <v>8</v>
      </c>
    </row>
    <row r="81" customFormat="false" ht="15" hidden="false" customHeight="false" outlineLevel="0" collapsed="false">
      <c r="A81" s="2" t="s">
        <v>183</v>
      </c>
      <c r="B81" s="3" t="s">
        <v>184</v>
      </c>
      <c r="C81" s="3" t="s">
        <v>182</v>
      </c>
      <c r="D81" s="4" t="b">
        <f aca="false">TRUE()</f>
        <v>1</v>
      </c>
      <c r="E81" s="3" t="s">
        <v>11</v>
      </c>
    </row>
    <row r="82" customFormat="false" ht="15" hidden="false" customHeight="false" outlineLevel="0" collapsed="false">
      <c r="A82" s="2" t="s">
        <v>185</v>
      </c>
      <c r="B82" s="3" t="s">
        <v>186</v>
      </c>
      <c r="C82" s="3" t="s">
        <v>182</v>
      </c>
      <c r="D82" s="5" t="b">
        <f aca="false">FALSE()</f>
        <v>0</v>
      </c>
      <c r="E82" s="3" t="s">
        <v>14</v>
      </c>
    </row>
    <row r="83" customFormat="false" ht="15" hidden="false" customHeight="false" outlineLevel="0" collapsed="false">
      <c r="A83" s="2" t="s">
        <v>187</v>
      </c>
      <c r="B83" s="3" t="s">
        <v>188</v>
      </c>
      <c r="C83" s="3" t="s">
        <v>182</v>
      </c>
      <c r="D83" s="4" t="b">
        <f aca="false">TRUE()</f>
        <v>1</v>
      </c>
      <c r="E83" s="3" t="s">
        <v>17</v>
      </c>
    </row>
    <row r="84" customFormat="false" ht="15" hidden="false" customHeight="false" outlineLevel="0" collapsed="false">
      <c r="A84" s="2" t="s">
        <v>189</v>
      </c>
      <c r="B84" s="3" t="s">
        <v>190</v>
      </c>
      <c r="C84" s="3" t="s">
        <v>182</v>
      </c>
      <c r="D84" s="4" t="b">
        <f aca="false">TRUE()</f>
        <v>1</v>
      </c>
      <c r="E84" s="3" t="s">
        <v>20</v>
      </c>
    </row>
    <row r="85" customFormat="false" ht="15" hidden="false" customHeight="false" outlineLevel="0" collapsed="false">
      <c r="A85" s="2" t="s">
        <v>191</v>
      </c>
      <c r="B85" s="3" t="s">
        <v>192</v>
      </c>
      <c r="C85" s="3" t="s">
        <v>182</v>
      </c>
      <c r="D85" s="5" t="b">
        <f aca="false">FALSE()</f>
        <v>0</v>
      </c>
      <c r="E85" s="3" t="s">
        <v>23</v>
      </c>
    </row>
    <row r="86" customFormat="false" ht="15" hidden="false" customHeight="false" outlineLevel="0" collapsed="false">
      <c r="A86" s="2" t="s">
        <v>193</v>
      </c>
      <c r="B86" s="3" t="s">
        <v>194</v>
      </c>
      <c r="C86" s="3" t="s">
        <v>195</v>
      </c>
      <c r="D86" s="5" t="b">
        <f aca="false">FALSE()</f>
        <v>0</v>
      </c>
      <c r="E86" s="3" t="s">
        <v>8</v>
      </c>
    </row>
    <row r="87" customFormat="false" ht="15" hidden="false" customHeight="false" outlineLevel="0" collapsed="false">
      <c r="A87" s="2" t="s">
        <v>196</v>
      </c>
      <c r="B87" s="3" t="s">
        <v>197</v>
      </c>
      <c r="C87" s="3" t="s">
        <v>195</v>
      </c>
      <c r="D87" s="4" t="b">
        <f aca="false">TRUE()</f>
        <v>1</v>
      </c>
      <c r="E87" s="3" t="s">
        <v>11</v>
      </c>
    </row>
    <row r="88" customFormat="false" ht="15" hidden="false" customHeight="false" outlineLevel="0" collapsed="false">
      <c r="A88" s="2" t="s">
        <v>198</v>
      </c>
      <c r="B88" s="3" t="s">
        <v>199</v>
      </c>
      <c r="C88" s="3" t="s">
        <v>195</v>
      </c>
      <c r="D88" s="5" t="b">
        <f aca="false">FALSE()</f>
        <v>0</v>
      </c>
      <c r="E88" s="3" t="s">
        <v>14</v>
      </c>
    </row>
    <row r="89" customFormat="false" ht="15" hidden="false" customHeight="false" outlineLevel="0" collapsed="false">
      <c r="A89" s="2" t="s">
        <v>200</v>
      </c>
      <c r="B89" s="3" t="s">
        <v>201</v>
      </c>
      <c r="C89" s="3" t="s">
        <v>195</v>
      </c>
      <c r="D89" s="5" t="b">
        <f aca="false">FALSE()</f>
        <v>0</v>
      </c>
      <c r="E89" s="3" t="s">
        <v>17</v>
      </c>
    </row>
    <row r="90" customFormat="false" ht="15" hidden="false" customHeight="false" outlineLevel="0" collapsed="false">
      <c r="A90" s="2" t="s">
        <v>202</v>
      </c>
      <c r="B90" s="3" t="s">
        <v>203</v>
      </c>
      <c r="C90" s="3" t="s">
        <v>195</v>
      </c>
      <c r="D90" s="4" t="b">
        <f aca="false">TRUE()</f>
        <v>1</v>
      </c>
      <c r="E90" s="3" t="s">
        <v>20</v>
      </c>
    </row>
    <row r="91" customFormat="false" ht="15" hidden="false" customHeight="false" outlineLevel="0" collapsed="false">
      <c r="A91" s="2" t="s">
        <v>204</v>
      </c>
      <c r="B91" s="3" t="s">
        <v>205</v>
      </c>
      <c r="C91" s="3" t="s">
        <v>195</v>
      </c>
      <c r="D91" s="5" t="b">
        <f aca="false">FALSE()</f>
        <v>0</v>
      </c>
      <c r="E91" s="3" t="s">
        <v>23</v>
      </c>
    </row>
    <row r="92" customFormat="false" ht="15" hidden="false" customHeight="false" outlineLevel="0" collapsed="false">
      <c r="A92" s="2" t="s">
        <v>206</v>
      </c>
      <c r="B92" s="3" t="s">
        <v>207</v>
      </c>
      <c r="C92" s="3" t="s">
        <v>208</v>
      </c>
      <c r="D92" s="5" t="b">
        <f aca="false">FALSE()</f>
        <v>0</v>
      </c>
      <c r="E92" s="3" t="s">
        <v>8</v>
      </c>
    </row>
    <row r="93" customFormat="false" ht="15" hidden="false" customHeight="false" outlineLevel="0" collapsed="false">
      <c r="A93" s="2" t="s">
        <v>209</v>
      </c>
      <c r="B93" s="3" t="s">
        <v>210</v>
      </c>
      <c r="C93" s="3" t="s">
        <v>208</v>
      </c>
      <c r="D93" s="4" t="b">
        <f aca="false">TRUE()</f>
        <v>1</v>
      </c>
      <c r="E93" s="3" t="s">
        <v>11</v>
      </c>
    </row>
    <row r="94" customFormat="false" ht="15" hidden="false" customHeight="false" outlineLevel="0" collapsed="false">
      <c r="A94" s="2" t="s">
        <v>211</v>
      </c>
      <c r="B94" s="3" t="s">
        <v>212</v>
      </c>
      <c r="C94" s="3" t="s">
        <v>208</v>
      </c>
      <c r="D94" s="5" t="b">
        <f aca="false">FALSE()</f>
        <v>0</v>
      </c>
      <c r="E94" s="3" t="s">
        <v>14</v>
      </c>
    </row>
    <row r="95" customFormat="false" ht="15" hidden="false" customHeight="false" outlineLevel="0" collapsed="false">
      <c r="A95" s="2" t="s">
        <v>213</v>
      </c>
      <c r="B95" s="3" t="s">
        <v>214</v>
      </c>
      <c r="C95" s="3" t="s">
        <v>208</v>
      </c>
      <c r="D95" s="5" t="b">
        <f aca="false">FALSE()</f>
        <v>0</v>
      </c>
      <c r="E95" s="3" t="s">
        <v>17</v>
      </c>
    </row>
    <row r="96" customFormat="false" ht="15" hidden="false" customHeight="false" outlineLevel="0" collapsed="false">
      <c r="A96" s="2" t="s">
        <v>215</v>
      </c>
      <c r="B96" s="3" t="s">
        <v>216</v>
      </c>
      <c r="C96" s="3" t="s">
        <v>208</v>
      </c>
      <c r="D96" s="4" t="b">
        <f aca="false">TRUE()</f>
        <v>1</v>
      </c>
      <c r="E96" s="3" t="s">
        <v>20</v>
      </c>
    </row>
    <row r="97" customFormat="false" ht="15" hidden="false" customHeight="false" outlineLevel="0" collapsed="false">
      <c r="A97" s="2" t="s">
        <v>217</v>
      </c>
      <c r="B97" s="3" t="s">
        <v>218</v>
      </c>
      <c r="C97" s="3" t="s">
        <v>208</v>
      </c>
      <c r="D97" s="5" t="b">
        <f aca="false">FALSE()</f>
        <v>0</v>
      </c>
      <c r="E97" s="3" t="s">
        <v>23</v>
      </c>
    </row>
    <row r="98" customFormat="false" ht="15" hidden="false" customHeight="false" outlineLevel="0" collapsed="false">
      <c r="A98" s="2" t="s">
        <v>219</v>
      </c>
      <c r="B98" s="3" t="s">
        <v>220</v>
      </c>
      <c r="C98" s="3" t="s">
        <v>221</v>
      </c>
      <c r="D98" s="5" t="b">
        <f aca="false">FALSE()</f>
        <v>0</v>
      </c>
      <c r="E98" s="3" t="s">
        <v>8</v>
      </c>
    </row>
    <row r="99" customFormat="false" ht="15" hidden="false" customHeight="false" outlineLevel="0" collapsed="false">
      <c r="A99" s="2" t="s">
        <v>222</v>
      </c>
      <c r="B99" s="3" t="s">
        <v>223</v>
      </c>
      <c r="C99" s="3" t="s">
        <v>221</v>
      </c>
      <c r="D99" s="4" t="b">
        <f aca="false">TRUE()</f>
        <v>1</v>
      </c>
      <c r="E99" s="3" t="s">
        <v>11</v>
      </c>
    </row>
    <row r="100" customFormat="false" ht="15" hidden="false" customHeight="false" outlineLevel="0" collapsed="false">
      <c r="A100" s="2" t="s">
        <v>224</v>
      </c>
      <c r="B100" s="3" t="s">
        <v>225</v>
      </c>
      <c r="C100" s="3" t="s">
        <v>221</v>
      </c>
      <c r="D100" s="5" t="b">
        <f aca="false">FALSE()</f>
        <v>0</v>
      </c>
      <c r="E100" s="3" t="s">
        <v>14</v>
      </c>
    </row>
    <row r="101" customFormat="false" ht="15" hidden="false" customHeight="false" outlineLevel="0" collapsed="false">
      <c r="A101" s="2" t="s">
        <v>226</v>
      </c>
      <c r="B101" s="3" t="s">
        <v>227</v>
      </c>
      <c r="C101" s="3" t="s">
        <v>221</v>
      </c>
      <c r="D101" s="5" t="b">
        <f aca="false">FALSE()</f>
        <v>0</v>
      </c>
      <c r="E101" s="3" t="s">
        <v>17</v>
      </c>
    </row>
    <row r="102" customFormat="false" ht="15" hidden="false" customHeight="false" outlineLevel="0" collapsed="false">
      <c r="A102" s="2" t="s">
        <v>228</v>
      </c>
      <c r="B102" s="3" t="s">
        <v>229</v>
      </c>
      <c r="C102" s="3" t="s">
        <v>221</v>
      </c>
      <c r="D102" s="4" t="b">
        <f aca="false">TRUE()</f>
        <v>1</v>
      </c>
      <c r="E102" s="3" t="s">
        <v>20</v>
      </c>
    </row>
    <row r="103" customFormat="false" ht="15" hidden="false" customHeight="false" outlineLevel="0" collapsed="false">
      <c r="A103" s="2" t="s">
        <v>230</v>
      </c>
      <c r="B103" s="3" t="s">
        <v>231</v>
      </c>
      <c r="C103" s="3" t="s">
        <v>221</v>
      </c>
      <c r="D103" s="5" t="b">
        <f aca="false">FALSE()</f>
        <v>0</v>
      </c>
      <c r="E103" s="3" t="s">
        <v>23</v>
      </c>
    </row>
    <row r="104" customFormat="false" ht="15" hidden="false" customHeight="false" outlineLevel="0" collapsed="false">
      <c r="A104" s="2" t="s">
        <v>232</v>
      </c>
      <c r="B104" s="3" t="s">
        <v>233</v>
      </c>
      <c r="C104" s="3" t="s">
        <v>234</v>
      </c>
      <c r="D104" s="5" t="b">
        <f aca="false">FALSE()</f>
        <v>0</v>
      </c>
      <c r="E104" s="3" t="s">
        <v>8</v>
      </c>
    </row>
    <row r="105" customFormat="false" ht="15" hidden="false" customHeight="false" outlineLevel="0" collapsed="false">
      <c r="A105" s="2" t="s">
        <v>235</v>
      </c>
      <c r="B105" s="3" t="s">
        <v>236</v>
      </c>
      <c r="C105" s="3" t="s">
        <v>234</v>
      </c>
      <c r="D105" s="4" t="b">
        <f aca="false">TRUE()</f>
        <v>1</v>
      </c>
      <c r="E105" s="3" t="s">
        <v>11</v>
      </c>
    </row>
    <row r="106" customFormat="false" ht="15" hidden="false" customHeight="false" outlineLevel="0" collapsed="false">
      <c r="A106" s="2" t="s">
        <v>237</v>
      </c>
      <c r="B106" s="3" t="s">
        <v>238</v>
      </c>
      <c r="C106" s="3" t="s">
        <v>234</v>
      </c>
      <c r="D106" s="5" t="b">
        <f aca="false">FALSE()</f>
        <v>0</v>
      </c>
      <c r="E106" s="3" t="s">
        <v>14</v>
      </c>
    </row>
    <row r="107" customFormat="false" ht="15" hidden="false" customHeight="false" outlineLevel="0" collapsed="false">
      <c r="A107" s="2" t="s">
        <v>239</v>
      </c>
      <c r="B107" s="3" t="s">
        <v>240</v>
      </c>
      <c r="C107" s="3" t="s">
        <v>234</v>
      </c>
      <c r="D107" s="5" t="b">
        <f aca="false">FALSE()</f>
        <v>0</v>
      </c>
      <c r="E107" s="3" t="s">
        <v>17</v>
      </c>
    </row>
    <row r="108" customFormat="false" ht="15" hidden="false" customHeight="false" outlineLevel="0" collapsed="false">
      <c r="A108" s="2" t="s">
        <v>241</v>
      </c>
      <c r="B108" s="3" t="s">
        <v>242</v>
      </c>
      <c r="C108" s="3" t="s">
        <v>234</v>
      </c>
      <c r="D108" s="4" t="b">
        <f aca="false">TRUE()</f>
        <v>1</v>
      </c>
      <c r="E108" s="3" t="s">
        <v>20</v>
      </c>
    </row>
    <row r="109" customFormat="false" ht="15" hidden="false" customHeight="false" outlineLevel="0" collapsed="false">
      <c r="A109" s="2" t="s">
        <v>243</v>
      </c>
      <c r="B109" s="3" t="s">
        <v>244</v>
      </c>
      <c r="C109" s="3" t="s">
        <v>234</v>
      </c>
      <c r="D109" s="5" t="b">
        <f aca="false">FALSE()</f>
        <v>0</v>
      </c>
      <c r="E109" s="3" t="s">
        <v>23</v>
      </c>
    </row>
    <row r="110" customFormat="false" ht="15" hidden="false" customHeight="false" outlineLevel="0" collapsed="false">
      <c r="A110" s="2" t="s">
        <v>245</v>
      </c>
      <c r="B110" s="3" t="s">
        <v>246</v>
      </c>
      <c r="C110" s="3" t="s">
        <v>247</v>
      </c>
      <c r="D110" s="5" t="b">
        <f aca="false">FALSE()</f>
        <v>0</v>
      </c>
      <c r="E110" s="3" t="s">
        <v>8</v>
      </c>
    </row>
    <row r="111" customFormat="false" ht="15" hidden="false" customHeight="false" outlineLevel="0" collapsed="false">
      <c r="A111" s="2" t="s">
        <v>248</v>
      </c>
      <c r="B111" s="3" t="s">
        <v>249</v>
      </c>
      <c r="C111" s="3" t="s">
        <v>247</v>
      </c>
      <c r="D111" s="4" t="b">
        <f aca="false">TRUE()</f>
        <v>1</v>
      </c>
      <c r="E111" s="3" t="s">
        <v>11</v>
      </c>
    </row>
    <row r="112" customFormat="false" ht="15" hidden="false" customHeight="false" outlineLevel="0" collapsed="false">
      <c r="A112" s="2" t="s">
        <v>250</v>
      </c>
      <c r="B112" s="3" t="s">
        <v>251</v>
      </c>
      <c r="C112" s="3" t="s">
        <v>247</v>
      </c>
      <c r="D112" s="5" t="b">
        <f aca="false">FALSE()</f>
        <v>0</v>
      </c>
      <c r="E112" s="3" t="s">
        <v>14</v>
      </c>
    </row>
    <row r="113" customFormat="false" ht="15" hidden="false" customHeight="false" outlineLevel="0" collapsed="false">
      <c r="A113" s="2" t="s">
        <v>252</v>
      </c>
      <c r="B113" s="3" t="s">
        <v>253</v>
      </c>
      <c r="C113" s="3" t="s">
        <v>247</v>
      </c>
      <c r="D113" s="5" t="b">
        <f aca="false">FALSE()</f>
        <v>0</v>
      </c>
      <c r="E113" s="3" t="s">
        <v>17</v>
      </c>
    </row>
    <row r="114" customFormat="false" ht="15" hidden="false" customHeight="false" outlineLevel="0" collapsed="false">
      <c r="A114" s="2" t="s">
        <v>254</v>
      </c>
      <c r="B114" s="3" t="s">
        <v>255</v>
      </c>
      <c r="C114" s="3" t="s">
        <v>247</v>
      </c>
      <c r="D114" s="4" t="b">
        <f aca="false">TRUE()</f>
        <v>1</v>
      </c>
      <c r="E114" s="3" t="s">
        <v>20</v>
      </c>
    </row>
    <row r="115" customFormat="false" ht="15" hidden="false" customHeight="false" outlineLevel="0" collapsed="false">
      <c r="A115" s="2" t="s">
        <v>256</v>
      </c>
      <c r="B115" s="3" t="s">
        <v>257</v>
      </c>
      <c r="C115" s="3" t="s">
        <v>247</v>
      </c>
      <c r="D115" s="5" t="b">
        <f aca="false">FALSE()</f>
        <v>0</v>
      </c>
      <c r="E115" s="3" t="s">
        <v>23</v>
      </c>
    </row>
  </sheetData>
  <autoFilter ref="A1:E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90"/>
  </cols>
  <sheetData>
    <row r="1" customFormat="false" ht="21.75" hidden="false" customHeight="true" outlineLevel="0" collapsed="false">
      <c r="A1" s="1" t="s">
        <v>0</v>
      </c>
      <c r="B1" s="1" t="s">
        <v>2</v>
      </c>
      <c r="C1" s="1" t="s">
        <v>258</v>
      </c>
      <c r="D1" s="1" t="s">
        <v>4</v>
      </c>
      <c r="E1" s="1" t="s">
        <v>259</v>
      </c>
      <c r="F1" s="1" t="s">
        <v>3</v>
      </c>
      <c r="G1" s="1" t="s">
        <v>260</v>
      </c>
    </row>
    <row r="2" customFormat="false" ht="35.05" hidden="false" customHeight="false" outlineLevel="0" collapsed="false">
      <c r="A2" s="2" t="s">
        <v>5</v>
      </c>
      <c r="B2" s="3" t="s">
        <v>7</v>
      </c>
      <c r="C2" s="3" t="s">
        <v>261</v>
      </c>
      <c r="D2" s="3" t="s">
        <v>8</v>
      </c>
      <c r="E2" s="3" t="s">
        <v>262</v>
      </c>
      <c r="F2" s="4" t="b">
        <f aca="false">TRUE()</f>
        <v>1</v>
      </c>
      <c r="G2" s="3" t="s">
        <v>263</v>
      </c>
    </row>
    <row r="3" customFormat="false" ht="35.05" hidden="false" customHeight="false" outlineLevel="0" collapsed="false">
      <c r="A3" s="2" t="s">
        <v>9</v>
      </c>
      <c r="B3" s="3" t="s">
        <v>7</v>
      </c>
      <c r="C3" s="3" t="s">
        <v>261</v>
      </c>
      <c r="D3" s="3" t="s">
        <v>11</v>
      </c>
      <c r="E3" s="3" t="s">
        <v>264</v>
      </c>
      <c r="F3" s="4" t="b">
        <f aca="false">TRUE()</f>
        <v>1</v>
      </c>
      <c r="G3" s="3" t="s">
        <v>265</v>
      </c>
    </row>
    <row r="4" customFormat="false" ht="35.05" hidden="false" customHeight="false" outlineLevel="0" collapsed="false">
      <c r="A4" s="2" t="s">
        <v>12</v>
      </c>
      <c r="B4" s="3" t="s">
        <v>7</v>
      </c>
      <c r="C4" s="3" t="s">
        <v>261</v>
      </c>
      <c r="D4" s="3" t="s">
        <v>14</v>
      </c>
      <c r="E4" s="3" t="s">
        <v>266</v>
      </c>
      <c r="F4" s="4" t="b">
        <f aca="false">TRUE()</f>
        <v>1</v>
      </c>
      <c r="G4" s="3" t="s">
        <v>267</v>
      </c>
    </row>
    <row r="5" customFormat="false" ht="35.05" hidden="false" customHeight="false" outlineLevel="0" collapsed="false">
      <c r="A5" s="2" t="s">
        <v>15</v>
      </c>
      <c r="B5" s="3" t="s">
        <v>7</v>
      </c>
      <c r="C5" s="3" t="s">
        <v>261</v>
      </c>
      <c r="D5" s="3" t="s">
        <v>17</v>
      </c>
      <c r="E5" s="3" t="s">
        <v>268</v>
      </c>
      <c r="F5" s="4" t="b">
        <f aca="false">TRUE()</f>
        <v>1</v>
      </c>
      <c r="G5" s="3" t="s">
        <v>269</v>
      </c>
    </row>
    <row r="6" customFormat="false" ht="35.05" hidden="false" customHeight="false" outlineLevel="0" collapsed="false">
      <c r="A6" s="2" t="s">
        <v>18</v>
      </c>
      <c r="B6" s="3" t="s">
        <v>7</v>
      </c>
      <c r="C6" s="3" t="s">
        <v>261</v>
      </c>
      <c r="D6" s="3" t="s">
        <v>20</v>
      </c>
      <c r="E6" s="3" t="s">
        <v>270</v>
      </c>
      <c r="F6" s="4" t="b">
        <f aca="false">TRUE()</f>
        <v>1</v>
      </c>
      <c r="G6" s="3" t="s">
        <v>271</v>
      </c>
    </row>
    <row r="7" customFormat="false" ht="35.05" hidden="false" customHeight="false" outlineLevel="0" collapsed="false">
      <c r="A7" s="2" t="s">
        <v>21</v>
      </c>
      <c r="B7" s="3" t="s">
        <v>7</v>
      </c>
      <c r="C7" s="3" t="s">
        <v>261</v>
      </c>
      <c r="D7" s="3" t="s">
        <v>23</v>
      </c>
      <c r="E7" s="3" t="s">
        <v>272</v>
      </c>
      <c r="F7" s="4" t="b">
        <f aca="false">TRUE()</f>
        <v>1</v>
      </c>
      <c r="G7" s="3" t="s">
        <v>273</v>
      </c>
    </row>
    <row r="8" customFormat="false" ht="23.85" hidden="false" customHeight="false" outlineLevel="0" collapsed="false">
      <c r="A8" s="2" t="s">
        <v>24</v>
      </c>
      <c r="B8" s="3" t="s">
        <v>26</v>
      </c>
      <c r="C8" s="3" t="s">
        <v>274</v>
      </c>
      <c r="D8" s="3" t="s">
        <v>8</v>
      </c>
      <c r="E8" s="3" t="s">
        <v>262</v>
      </c>
      <c r="F8" s="4" t="b">
        <f aca="false">TRUE()</f>
        <v>1</v>
      </c>
      <c r="G8" s="3" t="s">
        <v>275</v>
      </c>
    </row>
    <row r="9" customFormat="false" ht="23.85" hidden="false" customHeight="false" outlineLevel="0" collapsed="false">
      <c r="A9" s="2" t="s">
        <v>27</v>
      </c>
      <c r="B9" s="3" t="s">
        <v>26</v>
      </c>
      <c r="C9" s="3" t="s">
        <v>274</v>
      </c>
      <c r="D9" s="3" t="s">
        <v>11</v>
      </c>
      <c r="E9" s="3" t="s">
        <v>264</v>
      </c>
      <c r="F9" s="4" t="b">
        <f aca="false">TRUE()</f>
        <v>1</v>
      </c>
      <c r="G9" s="3" t="s">
        <v>276</v>
      </c>
    </row>
    <row r="10" customFormat="false" ht="23.85" hidden="false" customHeight="false" outlineLevel="0" collapsed="false">
      <c r="A10" s="2" t="s">
        <v>29</v>
      </c>
      <c r="B10" s="3" t="s">
        <v>26</v>
      </c>
      <c r="C10" s="3" t="s">
        <v>274</v>
      </c>
      <c r="D10" s="3" t="s">
        <v>14</v>
      </c>
      <c r="E10" s="3" t="s">
        <v>266</v>
      </c>
      <c r="F10" s="5" t="b">
        <f aca="false">FALSE()</f>
        <v>0</v>
      </c>
      <c r="G10" s="3" t="s">
        <v>277</v>
      </c>
    </row>
    <row r="11" customFormat="false" ht="23.85" hidden="false" customHeight="false" outlineLevel="0" collapsed="false">
      <c r="A11" s="2" t="s">
        <v>31</v>
      </c>
      <c r="B11" s="3" t="s">
        <v>26</v>
      </c>
      <c r="C11" s="3" t="s">
        <v>274</v>
      </c>
      <c r="D11" s="3" t="s">
        <v>17</v>
      </c>
      <c r="E11" s="3" t="s">
        <v>268</v>
      </c>
      <c r="F11" s="4" t="b">
        <f aca="false">TRUE()</f>
        <v>1</v>
      </c>
      <c r="G11" s="3" t="s">
        <v>278</v>
      </c>
    </row>
    <row r="12" customFormat="false" ht="23.85" hidden="false" customHeight="false" outlineLevel="0" collapsed="false">
      <c r="A12" s="2" t="s">
        <v>33</v>
      </c>
      <c r="B12" s="3" t="s">
        <v>26</v>
      </c>
      <c r="C12" s="3" t="s">
        <v>274</v>
      </c>
      <c r="D12" s="3" t="s">
        <v>20</v>
      </c>
      <c r="E12" s="3" t="s">
        <v>270</v>
      </c>
      <c r="F12" s="4" t="b">
        <f aca="false">TRUE()</f>
        <v>1</v>
      </c>
      <c r="G12" s="3" t="s">
        <v>279</v>
      </c>
    </row>
    <row r="13" customFormat="false" ht="23.85" hidden="false" customHeight="false" outlineLevel="0" collapsed="false">
      <c r="A13" s="2" t="s">
        <v>35</v>
      </c>
      <c r="B13" s="3" t="s">
        <v>26</v>
      </c>
      <c r="C13" s="3" t="s">
        <v>274</v>
      </c>
      <c r="D13" s="3" t="s">
        <v>23</v>
      </c>
      <c r="E13" s="3" t="s">
        <v>272</v>
      </c>
      <c r="F13" s="4" t="b">
        <f aca="false">TRUE()</f>
        <v>1</v>
      </c>
      <c r="G13" s="3" t="s">
        <v>280</v>
      </c>
    </row>
    <row r="14" customFormat="false" ht="23.85" hidden="false" customHeight="false" outlineLevel="0" collapsed="false">
      <c r="A14" s="2" t="s">
        <v>37</v>
      </c>
      <c r="B14" s="3" t="s">
        <v>39</v>
      </c>
      <c r="C14" s="3" t="s">
        <v>281</v>
      </c>
      <c r="D14" s="3" t="s">
        <v>8</v>
      </c>
      <c r="E14" s="3" t="s">
        <v>262</v>
      </c>
      <c r="F14" s="4" t="b">
        <f aca="false">TRUE()</f>
        <v>1</v>
      </c>
      <c r="G14" s="3" t="s">
        <v>282</v>
      </c>
    </row>
    <row r="15" customFormat="false" ht="15" hidden="false" customHeight="false" outlineLevel="0" collapsed="false">
      <c r="A15" s="2" t="s">
        <v>40</v>
      </c>
      <c r="B15" s="3" t="s">
        <v>39</v>
      </c>
      <c r="C15" s="3" t="s">
        <v>281</v>
      </c>
      <c r="D15" s="3" t="s">
        <v>11</v>
      </c>
      <c r="E15" s="3" t="s">
        <v>264</v>
      </c>
      <c r="F15" s="4" t="b">
        <f aca="false">TRUE()</f>
        <v>1</v>
      </c>
      <c r="G15" s="3" t="s">
        <v>283</v>
      </c>
    </row>
    <row r="16" customFormat="false" ht="15" hidden="false" customHeight="false" outlineLevel="0" collapsed="false">
      <c r="A16" s="2" t="s">
        <v>42</v>
      </c>
      <c r="B16" s="3" t="s">
        <v>39</v>
      </c>
      <c r="C16" s="3" t="s">
        <v>281</v>
      </c>
      <c r="D16" s="3" t="s">
        <v>14</v>
      </c>
      <c r="E16" s="3" t="s">
        <v>266</v>
      </c>
      <c r="F16" s="5" t="b">
        <f aca="false">FALSE()</f>
        <v>0</v>
      </c>
      <c r="G16" s="3" t="s">
        <v>284</v>
      </c>
    </row>
    <row r="17" customFormat="false" ht="23.85" hidden="false" customHeight="false" outlineLevel="0" collapsed="false">
      <c r="A17" s="2" t="s">
        <v>44</v>
      </c>
      <c r="B17" s="3" t="s">
        <v>39</v>
      </c>
      <c r="C17" s="3" t="s">
        <v>281</v>
      </c>
      <c r="D17" s="3" t="s">
        <v>17</v>
      </c>
      <c r="E17" s="3" t="s">
        <v>268</v>
      </c>
      <c r="F17" s="5" t="b">
        <f aca="false">FALSE()</f>
        <v>0</v>
      </c>
      <c r="G17" s="3" t="s">
        <v>285</v>
      </c>
    </row>
    <row r="18" customFormat="false" ht="15" hidden="false" customHeight="false" outlineLevel="0" collapsed="false">
      <c r="A18" s="2" t="s">
        <v>46</v>
      </c>
      <c r="B18" s="3" t="s">
        <v>39</v>
      </c>
      <c r="C18" s="3" t="s">
        <v>281</v>
      </c>
      <c r="D18" s="3" t="s">
        <v>20</v>
      </c>
      <c r="E18" s="3" t="s">
        <v>270</v>
      </c>
      <c r="F18" s="4" t="b">
        <f aca="false">TRUE()</f>
        <v>1</v>
      </c>
      <c r="G18" s="3" t="s">
        <v>286</v>
      </c>
    </row>
    <row r="19" customFormat="false" ht="15" hidden="false" customHeight="false" outlineLevel="0" collapsed="false">
      <c r="A19" s="2" t="s">
        <v>48</v>
      </c>
      <c r="B19" s="3" t="s">
        <v>39</v>
      </c>
      <c r="C19" s="3" t="s">
        <v>281</v>
      </c>
      <c r="D19" s="3" t="s">
        <v>23</v>
      </c>
      <c r="E19" s="3" t="s">
        <v>272</v>
      </c>
      <c r="F19" s="5" t="b">
        <f aca="false">FALSE()</f>
        <v>0</v>
      </c>
      <c r="G19" s="3" t="s">
        <v>287</v>
      </c>
    </row>
    <row r="20" customFormat="false" ht="23.85" hidden="false" customHeight="false" outlineLevel="0" collapsed="false">
      <c r="A20" s="2" t="s">
        <v>50</v>
      </c>
      <c r="B20" s="3" t="s">
        <v>52</v>
      </c>
      <c r="C20" s="3" t="s">
        <v>281</v>
      </c>
      <c r="D20" s="3" t="s">
        <v>8</v>
      </c>
      <c r="E20" s="3" t="s">
        <v>262</v>
      </c>
      <c r="F20" s="4" t="b">
        <f aca="false">TRUE()</f>
        <v>1</v>
      </c>
      <c r="G20" s="3" t="s">
        <v>288</v>
      </c>
    </row>
    <row r="21" customFormat="false" ht="15" hidden="false" customHeight="false" outlineLevel="0" collapsed="false">
      <c r="A21" s="2" t="s">
        <v>53</v>
      </c>
      <c r="B21" s="3" t="s">
        <v>52</v>
      </c>
      <c r="C21" s="3" t="s">
        <v>281</v>
      </c>
      <c r="D21" s="3" t="s">
        <v>11</v>
      </c>
      <c r="E21" s="3" t="s">
        <v>264</v>
      </c>
      <c r="F21" s="4" t="b">
        <f aca="false">TRUE()</f>
        <v>1</v>
      </c>
      <c r="G21" s="3" t="s">
        <v>289</v>
      </c>
    </row>
    <row r="22" customFormat="false" ht="15" hidden="false" customHeight="false" outlineLevel="0" collapsed="false">
      <c r="A22" s="2" t="s">
        <v>55</v>
      </c>
      <c r="B22" s="3" t="s">
        <v>52</v>
      </c>
      <c r="C22" s="3" t="s">
        <v>281</v>
      </c>
      <c r="D22" s="3" t="s">
        <v>14</v>
      </c>
      <c r="E22" s="3" t="s">
        <v>266</v>
      </c>
      <c r="F22" s="5" t="b">
        <f aca="false">FALSE()</f>
        <v>0</v>
      </c>
      <c r="G22" s="3" t="s">
        <v>284</v>
      </c>
    </row>
    <row r="23" customFormat="false" ht="15" hidden="false" customHeight="false" outlineLevel="0" collapsed="false">
      <c r="A23" s="2" t="s">
        <v>57</v>
      </c>
      <c r="B23" s="3" t="s">
        <v>52</v>
      </c>
      <c r="C23" s="3" t="s">
        <v>281</v>
      </c>
      <c r="D23" s="3" t="s">
        <v>17</v>
      </c>
      <c r="E23" s="3" t="s">
        <v>268</v>
      </c>
      <c r="F23" s="5" t="b">
        <f aca="false">FALSE()</f>
        <v>0</v>
      </c>
      <c r="G23" s="3" t="s">
        <v>290</v>
      </c>
    </row>
    <row r="24" customFormat="false" ht="15" hidden="false" customHeight="false" outlineLevel="0" collapsed="false">
      <c r="A24" s="2" t="s">
        <v>59</v>
      </c>
      <c r="B24" s="3" t="s">
        <v>52</v>
      </c>
      <c r="C24" s="3" t="s">
        <v>281</v>
      </c>
      <c r="D24" s="3" t="s">
        <v>20</v>
      </c>
      <c r="E24" s="3" t="s">
        <v>270</v>
      </c>
      <c r="F24" s="4" t="b">
        <f aca="false">TRUE()</f>
        <v>1</v>
      </c>
      <c r="G24" s="3" t="s">
        <v>291</v>
      </c>
    </row>
    <row r="25" customFormat="false" ht="15" hidden="false" customHeight="false" outlineLevel="0" collapsed="false">
      <c r="A25" s="2" t="s">
        <v>61</v>
      </c>
      <c r="B25" s="3" t="s">
        <v>52</v>
      </c>
      <c r="C25" s="3" t="s">
        <v>281</v>
      </c>
      <c r="D25" s="3" t="s">
        <v>23</v>
      </c>
      <c r="E25" s="3" t="s">
        <v>272</v>
      </c>
      <c r="F25" s="5" t="b">
        <f aca="false">FALSE()</f>
        <v>0</v>
      </c>
      <c r="G25" s="3" t="s">
        <v>287</v>
      </c>
    </row>
    <row r="26" customFormat="false" ht="15" hidden="false" customHeight="false" outlineLevel="0" collapsed="false">
      <c r="A26" s="2" t="s">
        <v>63</v>
      </c>
      <c r="B26" s="3" t="s">
        <v>65</v>
      </c>
      <c r="C26" s="3" t="s">
        <v>281</v>
      </c>
      <c r="D26" s="3" t="s">
        <v>8</v>
      </c>
      <c r="E26" s="3" t="s">
        <v>262</v>
      </c>
      <c r="F26" s="4" t="b">
        <f aca="false">TRUE()</f>
        <v>1</v>
      </c>
      <c r="G26" s="3" t="s">
        <v>292</v>
      </c>
    </row>
    <row r="27" customFormat="false" ht="15" hidden="false" customHeight="false" outlineLevel="0" collapsed="false">
      <c r="A27" s="2" t="s">
        <v>66</v>
      </c>
      <c r="B27" s="3" t="s">
        <v>65</v>
      </c>
      <c r="C27" s="3" t="s">
        <v>281</v>
      </c>
      <c r="D27" s="3" t="s">
        <v>11</v>
      </c>
      <c r="E27" s="3" t="s">
        <v>264</v>
      </c>
      <c r="F27" s="4" t="b">
        <f aca="false">TRUE()</f>
        <v>1</v>
      </c>
      <c r="G27" s="3" t="s">
        <v>293</v>
      </c>
    </row>
    <row r="28" customFormat="false" ht="15" hidden="false" customHeight="false" outlineLevel="0" collapsed="false">
      <c r="A28" s="2" t="s">
        <v>68</v>
      </c>
      <c r="B28" s="3" t="s">
        <v>65</v>
      </c>
      <c r="C28" s="3" t="s">
        <v>281</v>
      </c>
      <c r="D28" s="3" t="s">
        <v>14</v>
      </c>
      <c r="E28" s="3" t="s">
        <v>266</v>
      </c>
      <c r="F28" s="5" t="b">
        <f aca="false">FALSE()</f>
        <v>0</v>
      </c>
      <c r="G28" s="3" t="s">
        <v>284</v>
      </c>
    </row>
    <row r="29" customFormat="false" ht="15" hidden="false" customHeight="false" outlineLevel="0" collapsed="false">
      <c r="A29" s="2" t="s">
        <v>70</v>
      </c>
      <c r="B29" s="3" t="s">
        <v>65</v>
      </c>
      <c r="C29" s="3" t="s">
        <v>281</v>
      </c>
      <c r="D29" s="3" t="s">
        <v>17</v>
      </c>
      <c r="E29" s="3" t="s">
        <v>268</v>
      </c>
      <c r="F29" s="5" t="b">
        <f aca="false">FALSE()</f>
        <v>0</v>
      </c>
      <c r="G29" s="3" t="s">
        <v>294</v>
      </c>
    </row>
    <row r="30" customFormat="false" ht="15" hidden="false" customHeight="false" outlineLevel="0" collapsed="false">
      <c r="A30" s="2" t="s">
        <v>72</v>
      </c>
      <c r="B30" s="3" t="s">
        <v>65</v>
      </c>
      <c r="C30" s="3" t="s">
        <v>281</v>
      </c>
      <c r="D30" s="3" t="s">
        <v>20</v>
      </c>
      <c r="E30" s="3" t="s">
        <v>270</v>
      </c>
      <c r="F30" s="4" t="b">
        <f aca="false">TRUE()</f>
        <v>1</v>
      </c>
      <c r="G30" s="3" t="s">
        <v>295</v>
      </c>
    </row>
    <row r="31" customFormat="false" ht="15" hidden="false" customHeight="false" outlineLevel="0" collapsed="false">
      <c r="A31" s="2" t="s">
        <v>74</v>
      </c>
      <c r="B31" s="3" t="s">
        <v>65</v>
      </c>
      <c r="C31" s="3" t="s">
        <v>281</v>
      </c>
      <c r="D31" s="3" t="s">
        <v>23</v>
      </c>
      <c r="E31" s="3" t="s">
        <v>272</v>
      </c>
      <c r="F31" s="5" t="b">
        <f aca="false">FALSE()</f>
        <v>0</v>
      </c>
      <c r="G31" s="3" t="s">
        <v>287</v>
      </c>
    </row>
    <row r="32" customFormat="false" ht="23.85" hidden="false" customHeight="false" outlineLevel="0" collapsed="false">
      <c r="A32" s="2" t="s">
        <v>76</v>
      </c>
      <c r="B32" s="3" t="s">
        <v>78</v>
      </c>
      <c r="C32" s="3" t="s">
        <v>296</v>
      </c>
      <c r="D32" s="3" t="s">
        <v>8</v>
      </c>
      <c r="E32" s="3" t="s">
        <v>262</v>
      </c>
      <c r="F32" s="4" t="b">
        <f aca="false">TRUE()</f>
        <v>1</v>
      </c>
      <c r="G32" s="3" t="s">
        <v>297</v>
      </c>
    </row>
    <row r="33" customFormat="false" ht="15" hidden="false" customHeight="false" outlineLevel="0" collapsed="false">
      <c r="A33" s="2" t="s">
        <v>79</v>
      </c>
      <c r="B33" s="3" t="s">
        <v>78</v>
      </c>
      <c r="C33" s="3" t="s">
        <v>296</v>
      </c>
      <c r="D33" s="3" t="s">
        <v>11</v>
      </c>
      <c r="E33" s="3" t="s">
        <v>264</v>
      </c>
      <c r="F33" s="4" t="b">
        <f aca="false">TRUE()</f>
        <v>1</v>
      </c>
      <c r="G33" s="3" t="s">
        <v>298</v>
      </c>
    </row>
    <row r="34" customFormat="false" ht="23.85" hidden="false" customHeight="false" outlineLevel="0" collapsed="false">
      <c r="A34" s="2" t="s">
        <v>81</v>
      </c>
      <c r="B34" s="3" t="s">
        <v>78</v>
      </c>
      <c r="C34" s="3" t="s">
        <v>296</v>
      </c>
      <c r="D34" s="3" t="s">
        <v>14</v>
      </c>
      <c r="E34" s="3" t="s">
        <v>266</v>
      </c>
      <c r="F34" s="4" t="b">
        <f aca="false">TRUE()</f>
        <v>1</v>
      </c>
      <c r="G34" s="3" t="s">
        <v>299</v>
      </c>
    </row>
    <row r="35" customFormat="false" ht="15" hidden="false" customHeight="false" outlineLevel="0" collapsed="false">
      <c r="A35" s="2" t="s">
        <v>83</v>
      </c>
      <c r="B35" s="3" t="s">
        <v>78</v>
      </c>
      <c r="C35" s="3" t="s">
        <v>296</v>
      </c>
      <c r="D35" s="3" t="s">
        <v>17</v>
      </c>
      <c r="E35" s="3" t="s">
        <v>268</v>
      </c>
      <c r="F35" s="4" t="b">
        <f aca="false">TRUE()</f>
        <v>1</v>
      </c>
      <c r="G35" s="3" t="s">
        <v>300</v>
      </c>
    </row>
    <row r="36" customFormat="false" ht="15" hidden="false" customHeight="false" outlineLevel="0" collapsed="false">
      <c r="A36" s="2" t="s">
        <v>85</v>
      </c>
      <c r="B36" s="3" t="s">
        <v>78</v>
      </c>
      <c r="C36" s="3" t="s">
        <v>296</v>
      </c>
      <c r="D36" s="3" t="s">
        <v>20</v>
      </c>
      <c r="E36" s="3" t="s">
        <v>270</v>
      </c>
      <c r="F36" s="4" t="b">
        <f aca="false">TRUE()</f>
        <v>1</v>
      </c>
      <c r="G36" s="3" t="s">
        <v>301</v>
      </c>
    </row>
    <row r="37" customFormat="false" ht="23.85" hidden="false" customHeight="false" outlineLevel="0" collapsed="false">
      <c r="A37" s="2" t="s">
        <v>87</v>
      </c>
      <c r="B37" s="3" t="s">
        <v>78</v>
      </c>
      <c r="C37" s="3" t="s">
        <v>296</v>
      </c>
      <c r="D37" s="3" t="s">
        <v>23</v>
      </c>
      <c r="E37" s="3" t="s">
        <v>272</v>
      </c>
      <c r="F37" s="4" t="b">
        <f aca="false">TRUE()</f>
        <v>1</v>
      </c>
      <c r="G37" s="3" t="s">
        <v>302</v>
      </c>
    </row>
    <row r="38" customFormat="false" ht="23.85" hidden="false" customHeight="false" outlineLevel="0" collapsed="false">
      <c r="A38" s="2" t="s">
        <v>89</v>
      </c>
      <c r="B38" s="3" t="s">
        <v>91</v>
      </c>
      <c r="C38" s="3" t="s">
        <v>274</v>
      </c>
      <c r="D38" s="3" t="s">
        <v>8</v>
      </c>
      <c r="E38" s="3" t="s">
        <v>262</v>
      </c>
      <c r="F38" s="4" t="b">
        <f aca="false">TRUE()</f>
        <v>1</v>
      </c>
      <c r="G38" s="3" t="s">
        <v>303</v>
      </c>
    </row>
    <row r="39" customFormat="false" ht="23.85" hidden="false" customHeight="false" outlineLevel="0" collapsed="false">
      <c r="A39" s="2" t="s">
        <v>92</v>
      </c>
      <c r="B39" s="3" t="s">
        <v>91</v>
      </c>
      <c r="C39" s="3" t="s">
        <v>274</v>
      </c>
      <c r="D39" s="3" t="s">
        <v>11</v>
      </c>
      <c r="E39" s="3" t="s">
        <v>264</v>
      </c>
      <c r="F39" s="4" t="b">
        <f aca="false">TRUE()</f>
        <v>1</v>
      </c>
      <c r="G39" s="3" t="s">
        <v>304</v>
      </c>
    </row>
    <row r="40" customFormat="false" ht="23.85" hidden="false" customHeight="false" outlineLevel="0" collapsed="false">
      <c r="A40" s="2" t="s">
        <v>94</v>
      </c>
      <c r="B40" s="3" t="s">
        <v>91</v>
      </c>
      <c r="C40" s="3" t="s">
        <v>274</v>
      </c>
      <c r="D40" s="3" t="s">
        <v>14</v>
      </c>
      <c r="E40" s="3" t="s">
        <v>266</v>
      </c>
      <c r="F40" s="5" t="b">
        <f aca="false">FALSE()</f>
        <v>0</v>
      </c>
      <c r="G40" s="3" t="s">
        <v>305</v>
      </c>
    </row>
    <row r="41" customFormat="false" ht="15" hidden="false" customHeight="false" outlineLevel="0" collapsed="false">
      <c r="A41" s="2" t="s">
        <v>96</v>
      </c>
      <c r="B41" s="3" t="s">
        <v>91</v>
      </c>
      <c r="C41" s="3" t="s">
        <v>274</v>
      </c>
      <c r="D41" s="3" t="s">
        <v>17</v>
      </c>
      <c r="E41" s="3" t="s">
        <v>268</v>
      </c>
      <c r="F41" s="5" t="b">
        <f aca="false">FALSE()</f>
        <v>0</v>
      </c>
      <c r="G41" s="3" t="s">
        <v>306</v>
      </c>
    </row>
    <row r="42" customFormat="false" ht="15" hidden="false" customHeight="false" outlineLevel="0" collapsed="false">
      <c r="A42" s="2" t="s">
        <v>98</v>
      </c>
      <c r="B42" s="3" t="s">
        <v>91</v>
      </c>
      <c r="C42" s="3" t="s">
        <v>274</v>
      </c>
      <c r="D42" s="3" t="s">
        <v>20</v>
      </c>
      <c r="E42" s="3" t="s">
        <v>270</v>
      </c>
      <c r="F42" s="4" t="b">
        <f aca="false">TRUE()</f>
        <v>1</v>
      </c>
      <c r="G42" s="3" t="s">
        <v>307</v>
      </c>
    </row>
    <row r="43" customFormat="false" ht="23.85" hidden="false" customHeight="false" outlineLevel="0" collapsed="false">
      <c r="A43" s="2" t="s">
        <v>100</v>
      </c>
      <c r="B43" s="3" t="s">
        <v>91</v>
      </c>
      <c r="C43" s="3" t="s">
        <v>274</v>
      </c>
      <c r="D43" s="3" t="s">
        <v>23</v>
      </c>
      <c r="E43" s="3" t="s">
        <v>272</v>
      </c>
      <c r="F43" s="4" t="b">
        <f aca="false">TRUE()</f>
        <v>1</v>
      </c>
      <c r="G43" s="3" t="s">
        <v>308</v>
      </c>
    </row>
    <row r="44" customFormat="false" ht="23.85" hidden="false" customHeight="false" outlineLevel="0" collapsed="false">
      <c r="A44" s="2" t="s">
        <v>102</v>
      </c>
      <c r="B44" s="3" t="s">
        <v>104</v>
      </c>
      <c r="C44" s="3" t="s">
        <v>309</v>
      </c>
      <c r="D44" s="3" t="s">
        <v>8</v>
      </c>
      <c r="E44" s="3" t="s">
        <v>262</v>
      </c>
      <c r="F44" s="5" t="b">
        <f aca="false">FALSE()</f>
        <v>0</v>
      </c>
      <c r="G44" s="3" t="s">
        <v>310</v>
      </c>
    </row>
    <row r="45" customFormat="false" ht="15" hidden="false" customHeight="false" outlineLevel="0" collapsed="false">
      <c r="A45" s="2" t="s">
        <v>105</v>
      </c>
      <c r="B45" s="3" t="s">
        <v>104</v>
      </c>
      <c r="C45" s="3" t="s">
        <v>309</v>
      </c>
      <c r="D45" s="3" t="s">
        <v>11</v>
      </c>
      <c r="E45" s="3" t="s">
        <v>264</v>
      </c>
      <c r="F45" s="4" t="b">
        <f aca="false">TRUE()</f>
        <v>1</v>
      </c>
      <c r="G45" s="3" t="s">
        <v>311</v>
      </c>
    </row>
    <row r="46" customFormat="false" ht="23.85" hidden="false" customHeight="false" outlineLevel="0" collapsed="false">
      <c r="A46" s="2" t="s">
        <v>107</v>
      </c>
      <c r="B46" s="3" t="s">
        <v>104</v>
      </c>
      <c r="C46" s="3" t="s">
        <v>309</v>
      </c>
      <c r="D46" s="3" t="s">
        <v>14</v>
      </c>
      <c r="E46" s="3" t="s">
        <v>266</v>
      </c>
      <c r="F46" s="5" t="b">
        <f aca="false">FALSE()</f>
        <v>0</v>
      </c>
      <c r="G46" s="3" t="s">
        <v>312</v>
      </c>
    </row>
    <row r="47" customFormat="false" ht="15" hidden="false" customHeight="false" outlineLevel="0" collapsed="false">
      <c r="A47" s="2" t="s">
        <v>109</v>
      </c>
      <c r="B47" s="3" t="s">
        <v>104</v>
      </c>
      <c r="C47" s="3" t="s">
        <v>309</v>
      </c>
      <c r="D47" s="3" t="s">
        <v>17</v>
      </c>
      <c r="E47" s="3" t="s">
        <v>268</v>
      </c>
      <c r="F47" s="5" t="b">
        <f aca="false">FALSE()</f>
        <v>0</v>
      </c>
      <c r="G47" s="3" t="s">
        <v>313</v>
      </c>
    </row>
    <row r="48" customFormat="false" ht="15" hidden="false" customHeight="false" outlineLevel="0" collapsed="false">
      <c r="A48" s="2" t="s">
        <v>111</v>
      </c>
      <c r="B48" s="3" t="s">
        <v>104</v>
      </c>
      <c r="C48" s="3" t="s">
        <v>309</v>
      </c>
      <c r="D48" s="3" t="s">
        <v>20</v>
      </c>
      <c r="E48" s="3" t="s">
        <v>270</v>
      </c>
      <c r="F48" s="4" t="b">
        <f aca="false">TRUE()</f>
        <v>1</v>
      </c>
      <c r="G48" s="3" t="s">
        <v>314</v>
      </c>
    </row>
    <row r="49" customFormat="false" ht="23.85" hidden="false" customHeight="false" outlineLevel="0" collapsed="false">
      <c r="A49" s="2" t="s">
        <v>113</v>
      </c>
      <c r="B49" s="3" t="s">
        <v>104</v>
      </c>
      <c r="C49" s="3" t="s">
        <v>309</v>
      </c>
      <c r="D49" s="3" t="s">
        <v>23</v>
      </c>
      <c r="E49" s="3" t="s">
        <v>272</v>
      </c>
      <c r="F49" s="5" t="b">
        <f aca="false">FALSE()</f>
        <v>0</v>
      </c>
      <c r="G49" s="3" t="s">
        <v>315</v>
      </c>
    </row>
    <row r="50" customFormat="false" ht="23.85" hidden="false" customHeight="false" outlineLevel="0" collapsed="false">
      <c r="A50" s="2" t="s">
        <v>115</v>
      </c>
      <c r="B50" s="3" t="s">
        <v>117</v>
      </c>
      <c r="C50" s="3" t="s">
        <v>309</v>
      </c>
      <c r="D50" s="3" t="s">
        <v>8</v>
      </c>
      <c r="E50" s="3" t="s">
        <v>262</v>
      </c>
      <c r="F50" s="5" t="b">
        <f aca="false">FALSE()</f>
        <v>0</v>
      </c>
      <c r="G50" s="3" t="s">
        <v>316</v>
      </c>
    </row>
    <row r="51" customFormat="false" ht="23.85" hidden="false" customHeight="false" outlineLevel="0" collapsed="false">
      <c r="A51" s="2" t="s">
        <v>118</v>
      </c>
      <c r="B51" s="3" t="s">
        <v>117</v>
      </c>
      <c r="C51" s="3" t="s">
        <v>309</v>
      </c>
      <c r="D51" s="3" t="s">
        <v>11</v>
      </c>
      <c r="E51" s="3" t="s">
        <v>264</v>
      </c>
      <c r="F51" s="4" t="b">
        <f aca="false">TRUE()</f>
        <v>1</v>
      </c>
      <c r="G51" s="3" t="s">
        <v>317</v>
      </c>
    </row>
    <row r="52" customFormat="false" ht="23.85" hidden="false" customHeight="false" outlineLevel="0" collapsed="false">
      <c r="A52" s="2" t="s">
        <v>120</v>
      </c>
      <c r="B52" s="3" t="s">
        <v>117</v>
      </c>
      <c r="C52" s="3" t="s">
        <v>309</v>
      </c>
      <c r="D52" s="3" t="s">
        <v>14</v>
      </c>
      <c r="E52" s="3" t="s">
        <v>266</v>
      </c>
      <c r="F52" s="5" t="b">
        <f aca="false">FALSE()</f>
        <v>0</v>
      </c>
      <c r="G52" s="3" t="s">
        <v>312</v>
      </c>
    </row>
    <row r="53" customFormat="false" ht="15" hidden="false" customHeight="false" outlineLevel="0" collapsed="false">
      <c r="A53" s="2" t="s">
        <v>122</v>
      </c>
      <c r="B53" s="3" t="s">
        <v>117</v>
      </c>
      <c r="C53" s="3" t="s">
        <v>309</v>
      </c>
      <c r="D53" s="3" t="s">
        <v>17</v>
      </c>
      <c r="E53" s="3" t="s">
        <v>268</v>
      </c>
      <c r="F53" s="5" t="b">
        <f aca="false">FALSE()</f>
        <v>0</v>
      </c>
      <c r="G53" s="3" t="s">
        <v>313</v>
      </c>
    </row>
    <row r="54" customFormat="false" ht="15" hidden="false" customHeight="false" outlineLevel="0" collapsed="false">
      <c r="A54" s="2" t="s">
        <v>124</v>
      </c>
      <c r="B54" s="3" t="s">
        <v>117</v>
      </c>
      <c r="C54" s="3" t="s">
        <v>309</v>
      </c>
      <c r="D54" s="3" t="s">
        <v>20</v>
      </c>
      <c r="E54" s="3" t="s">
        <v>270</v>
      </c>
      <c r="F54" s="4" t="b">
        <f aca="false">TRUE()</f>
        <v>1</v>
      </c>
      <c r="G54" s="3" t="s">
        <v>318</v>
      </c>
    </row>
    <row r="55" customFormat="false" ht="23.85" hidden="false" customHeight="false" outlineLevel="0" collapsed="false">
      <c r="A55" s="2" t="s">
        <v>126</v>
      </c>
      <c r="B55" s="3" t="s">
        <v>117</v>
      </c>
      <c r="C55" s="3" t="s">
        <v>309</v>
      </c>
      <c r="D55" s="3" t="s">
        <v>23</v>
      </c>
      <c r="E55" s="3" t="s">
        <v>272</v>
      </c>
      <c r="F55" s="5" t="b">
        <f aca="false">FALSE()</f>
        <v>0</v>
      </c>
      <c r="G55" s="3" t="s">
        <v>315</v>
      </c>
    </row>
    <row r="56" customFormat="false" ht="23.85" hidden="false" customHeight="false" outlineLevel="0" collapsed="false">
      <c r="A56" s="2" t="s">
        <v>128</v>
      </c>
      <c r="B56" s="3" t="s">
        <v>130</v>
      </c>
      <c r="C56" s="3" t="s">
        <v>319</v>
      </c>
      <c r="D56" s="3" t="s">
        <v>8</v>
      </c>
      <c r="E56" s="3" t="s">
        <v>262</v>
      </c>
      <c r="F56" s="5" t="b">
        <f aca="false">FALSE()</f>
        <v>0</v>
      </c>
      <c r="G56" s="3" t="s">
        <v>320</v>
      </c>
    </row>
    <row r="57" customFormat="false" ht="23.85" hidden="false" customHeight="false" outlineLevel="0" collapsed="false">
      <c r="A57" s="2" t="s">
        <v>131</v>
      </c>
      <c r="B57" s="3" t="s">
        <v>130</v>
      </c>
      <c r="C57" s="3" t="s">
        <v>319</v>
      </c>
      <c r="D57" s="3" t="s">
        <v>11</v>
      </c>
      <c r="E57" s="3" t="s">
        <v>264</v>
      </c>
      <c r="F57" s="4" t="b">
        <f aca="false">TRUE()</f>
        <v>1</v>
      </c>
      <c r="G57" s="3" t="s">
        <v>321</v>
      </c>
    </row>
    <row r="58" customFormat="false" ht="23.85" hidden="false" customHeight="false" outlineLevel="0" collapsed="false">
      <c r="A58" s="2" t="s">
        <v>133</v>
      </c>
      <c r="B58" s="3" t="s">
        <v>130</v>
      </c>
      <c r="C58" s="3" t="s">
        <v>319</v>
      </c>
      <c r="D58" s="3" t="s">
        <v>14</v>
      </c>
      <c r="E58" s="3" t="s">
        <v>266</v>
      </c>
      <c r="F58" s="5" t="b">
        <f aca="false">FALSE()</f>
        <v>0</v>
      </c>
      <c r="G58" s="3" t="s">
        <v>312</v>
      </c>
    </row>
    <row r="59" customFormat="false" ht="23.85" hidden="false" customHeight="false" outlineLevel="0" collapsed="false">
      <c r="A59" s="2" t="s">
        <v>135</v>
      </c>
      <c r="B59" s="3" t="s">
        <v>130</v>
      </c>
      <c r="C59" s="3" t="s">
        <v>319</v>
      </c>
      <c r="D59" s="3" t="s">
        <v>17</v>
      </c>
      <c r="E59" s="3" t="s">
        <v>268</v>
      </c>
      <c r="F59" s="5" t="b">
        <f aca="false">FALSE()</f>
        <v>0</v>
      </c>
      <c r="G59" s="3" t="s">
        <v>313</v>
      </c>
    </row>
    <row r="60" customFormat="false" ht="23.85" hidden="false" customHeight="false" outlineLevel="0" collapsed="false">
      <c r="A60" s="2" t="s">
        <v>137</v>
      </c>
      <c r="B60" s="3" t="s">
        <v>130</v>
      </c>
      <c r="C60" s="3" t="s">
        <v>319</v>
      </c>
      <c r="D60" s="3" t="s">
        <v>20</v>
      </c>
      <c r="E60" s="3" t="s">
        <v>270</v>
      </c>
      <c r="F60" s="4" t="b">
        <f aca="false">TRUE()</f>
        <v>1</v>
      </c>
      <c r="G60" s="3" t="s">
        <v>322</v>
      </c>
    </row>
    <row r="61" customFormat="false" ht="23.85" hidden="false" customHeight="false" outlineLevel="0" collapsed="false">
      <c r="A61" s="2" t="s">
        <v>139</v>
      </c>
      <c r="B61" s="3" t="s">
        <v>130</v>
      </c>
      <c r="C61" s="3" t="s">
        <v>319</v>
      </c>
      <c r="D61" s="3" t="s">
        <v>23</v>
      </c>
      <c r="E61" s="3" t="s">
        <v>272</v>
      </c>
      <c r="F61" s="5" t="b">
        <f aca="false">FALSE()</f>
        <v>0</v>
      </c>
      <c r="G61" s="3" t="s">
        <v>315</v>
      </c>
    </row>
    <row r="62" customFormat="false" ht="15" hidden="false" customHeight="false" outlineLevel="0" collapsed="false">
      <c r="A62" s="2" t="s">
        <v>141</v>
      </c>
      <c r="B62" s="3" t="s">
        <v>143</v>
      </c>
      <c r="C62" s="3" t="s">
        <v>323</v>
      </c>
      <c r="D62" s="3" t="s">
        <v>8</v>
      </c>
      <c r="E62" s="3" t="s">
        <v>262</v>
      </c>
      <c r="F62" s="5" t="b">
        <f aca="false">FALSE()</f>
        <v>0</v>
      </c>
      <c r="G62" s="3" t="s">
        <v>324</v>
      </c>
    </row>
    <row r="63" customFormat="false" ht="23.85" hidden="false" customHeight="false" outlineLevel="0" collapsed="false">
      <c r="A63" s="2" t="s">
        <v>144</v>
      </c>
      <c r="B63" s="3" t="s">
        <v>143</v>
      </c>
      <c r="C63" s="3" t="s">
        <v>323</v>
      </c>
      <c r="D63" s="3" t="s">
        <v>11</v>
      </c>
      <c r="E63" s="3" t="s">
        <v>264</v>
      </c>
      <c r="F63" s="4" t="b">
        <f aca="false">TRUE()</f>
        <v>1</v>
      </c>
      <c r="G63" s="3" t="s">
        <v>325</v>
      </c>
    </row>
    <row r="64" customFormat="false" ht="15" hidden="false" customHeight="false" outlineLevel="0" collapsed="false">
      <c r="A64" s="2" t="s">
        <v>146</v>
      </c>
      <c r="B64" s="3" t="s">
        <v>143</v>
      </c>
      <c r="C64" s="3" t="s">
        <v>323</v>
      </c>
      <c r="D64" s="3" t="s">
        <v>14</v>
      </c>
      <c r="E64" s="3" t="s">
        <v>266</v>
      </c>
      <c r="F64" s="5" t="b">
        <f aca="false">FALSE()</f>
        <v>0</v>
      </c>
      <c r="G64" s="3" t="s">
        <v>326</v>
      </c>
    </row>
    <row r="65" customFormat="false" ht="23.85" hidden="false" customHeight="false" outlineLevel="0" collapsed="false">
      <c r="A65" s="2" t="s">
        <v>148</v>
      </c>
      <c r="B65" s="3" t="s">
        <v>143</v>
      </c>
      <c r="C65" s="3" t="s">
        <v>323</v>
      </c>
      <c r="D65" s="3" t="s">
        <v>17</v>
      </c>
      <c r="E65" s="3" t="s">
        <v>268</v>
      </c>
      <c r="F65" s="4" t="b">
        <f aca="false">TRUE()</f>
        <v>1</v>
      </c>
      <c r="G65" s="3" t="s">
        <v>327</v>
      </c>
    </row>
    <row r="66" customFormat="false" ht="15" hidden="false" customHeight="false" outlineLevel="0" collapsed="false">
      <c r="A66" s="2" t="s">
        <v>150</v>
      </c>
      <c r="B66" s="3" t="s">
        <v>143</v>
      </c>
      <c r="C66" s="3" t="s">
        <v>323</v>
      </c>
      <c r="D66" s="3" t="s">
        <v>20</v>
      </c>
      <c r="E66" s="3" t="s">
        <v>270</v>
      </c>
      <c r="F66" s="4" t="b">
        <f aca="false">TRUE()</f>
        <v>1</v>
      </c>
      <c r="G66" s="3" t="s">
        <v>328</v>
      </c>
    </row>
    <row r="67" customFormat="false" ht="15" hidden="false" customHeight="false" outlineLevel="0" collapsed="false">
      <c r="A67" s="2" t="s">
        <v>152</v>
      </c>
      <c r="B67" s="3" t="s">
        <v>143</v>
      </c>
      <c r="C67" s="3" t="s">
        <v>323</v>
      </c>
      <c r="D67" s="3" t="s">
        <v>23</v>
      </c>
      <c r="E67" s="3" t="s">
        <v>272</v>
      </c>
      <c r="F67" s="5" t="b">
        <f aca="false">FALSE()</f>
        <v>0</v>
      </c>
      <c r="G67" s="3" t="s">
        <v>329</v>
      </c>
    </row>
    <row r="68" customFormat="false" ht="15" hidden="false" customHeight="false" outlineLevel="0" collapsed="false">
      <c r="A68" s="2" t="s">
        <v>154</v>
      </c>
      <c r="B68" s="3" t="s">
        <v>156</v>
      </c>
      <c r="C68" s="3" t="s">
        <v>323</v>
      </c>
      <c r="D68" s="3" t="s">
        <v>8</v>
      </c>
      <c r="E68" s="3" t="s">
        <v>262</v>
      </c>
      <c r="F68" s="5" t="b">
        <f aca="false">FALSE()</f>
        <v>0</v>
      </c>
      <c r="G68" s="3" t="s">
        <v>330</v>
      </c>
    </row>
    <row r="69" customFormat="false" ht="15" hidden="false" customHeight="false" outlineLevel="0" collapsed="false">
      <c r="A69" s="2" t="s">
        <v>157</v>
      </c>
      <c r="B69" s="3" t="s">
        <v>156</v>
      </c>
      <c r="C69" s="3" t="s">
        <v>323</v>
      </c>
      <c r="D69" s="3" t="s">
        <v>11</v>
      </c>
      <c r="E69" s="3" t="s">
        <v>264</v>
      </c>
      <c r="F69" s="4" t="b">
        <f aca="false">TRUE()</f>
        <v>1</v>
      </c>
      <c r="G69" s="3" t="s">
        <v>331</v>
      </c>
    </row>
    <row r="70" customFormat="false" ht="15" hidden="false" customHeight="false" outlineLevel="0" collapsed="false">
      <c r="A70" s="2" t="s">
        <v>159</v>
      </c>
      <c r="B70" s="3" t="s">
        <v>156</v>
      </c>
      <c r="C70" s="3" t="s">
        <v>323</v>
      </c>
      <c r="D70" s="3" t="s">
        <v>14</v>
      </c>
      <c r="E70" s="3" t="s">
        <v>266</v>
      </c>
      <c r="F70" s="5" t="b">
        <f aca="false">FALSE()</f>
        <v>0</v>
      </c>
      <c r="G70" s="3" t="s">
        <v>326</v>
      </c>
    </row>
    <row r="71" customFormat="false" ht="15" hidden="false" customHeight="false" outlineLevel="0" collapsed="false">
      <c r="A71" s="2" t="s">
        <v>161</v>
      </c>
      <c r="B71" s="3" t="s">
        <v>156</v>
      </c>
      <c r="C71" s="3" t="s">
        <v>323</v>
      </c>
      <c r="D71" s="3" t="s">
        <v>17</v>
      </c>
      <c r="E71" s="3" t="s">
        <v>268</v>
      </c>
      <c r="F71" s="5" t="b">
        <f aca="false">FALSE()</f>
        <v>0</v>
      </c>
      <c r="G71" s="3" t="s">
        <v>332</v>
      </c>
    </row>
    <row r="72" customFormat="false" ht="15" hidden="false" customHeight="false" outlineLevel="0" collapsed="false">
      <c r="A72" s="2" t="s">
        <v>163</v>
      </c>
      <c r="B72" s="3" t="s">
        <v>156</v>
      </c>
      <c r="C72" s="3" t="s">
        <v>323</v>
      </c>
      <c r="D72" s="3" t="s">
        <v>20</v>
      </c>
      <c r="E72" s="3" t="s">
        <v>270</v>
      </c>
      <c r="F72" s="4" t="b">
        <f aca="false">TRUE()</f>
        <v>1</v>
      </c>
      <c r="G72" s="3" t="s">
        <v>333</v>
      </c>
    </row>
    <row r="73" customFormat="false" ht="15" hidden="false" customHeight="false" outlineLevel="0" collapsed="false">
      <c r="A73" s="2" t="s">
        <v>165</v>
      </c>
      <c r="B73" s="3" t="s">
        <v>156</v>
      </c>
      <c r="C73" s="3" t="s">
        <v>323</v>
      </c>
      <c r="D73" s="3" t="s">
        <v>23</v>
      </c>
      <c r="E73" s="3" t="s">
        <v>272</v>
      </c>
      <c r="F73" s="5" t="b">
        <f aca="false">FALSE()</f>
        <v>0</v>
      </c>
      <c r="G73" s="3" t="s">
        <v>329</v>
      </c>
    </row>
    <row r="74" customFormat="false" ht="15" hidden="false" customHeight="false" outlineLevel="0" collapsed="false">
      <c r="A74" s="2" t="s">
        <v>167</v>
      </c>
      <c r="B74" s="3" t="s">
        <v>169</v>
      </c>
      <c r="C74" s="3" t="s">
        <v>323</v>
      </c>
      <c r="D74" s="3" t="s">
        <v>8</v>
      </c>
      <c r="E74" s="3" t="s">
        <v>262</v>
      </c>
      <c r="F74" s="5" t="b">
        <f aca="false">FALSE()</f>
        <v>0</v>
      </c>
      <c r="G74" s="3" t="s">
        <v>334</v>
      </c>
    </row>
    <row r="75" customFormat="false" ht="15" hidden="false" customHeight="false" outlineLevel="0" collapsed="false">
      <c r="A75" s="2" t="s">
        <v>170</v>
      </c>
      <c r="B75" s="3" t="s">
        <v>169</v>
      </c>
      <c r="C75" s="3" t="s">
        <v>323</v>
      </c>
      <c r="D75" s="3" t="s">
        <v>11</v>
      </c>
      <c r="E75" s="3" t="s">
        <v>264</v>
      </c>
      <c r="F75" s="4" t="b">
        <f aca="false">TRUE()</f>
        <v>1</v>
      </c>
      <c r="G75" s="3" t="s">
        <v>335</v>
      </c>
    </row>
    <row r="76" customFormat="false" ht="15" hidden="false" customHeight="false" outlineLevel="0" collapsed="false">
      <c r="A76" s="2" t="s">
        <v>172</v>
      </c>
      <c r="B76" s="3" t="s">
        <v>169</v>
      </c>
      <c r="C76" s="3" t="s">
        <v>323</v>
      </c>
      <c r="D76" s="3" t="s">
        <v>14</v>
      </c>
      <c r="E76" s="3" t="s">
        <v>266</v>
      </c>
      <c r="F76" s="5" t="b">
        <f aca="false">FALSE()</f>
        <v>0</v>
      </c>
      <c r="G76" s="3" t="s">
        <v>326</v>
      </c>
    </row>
    <row r="77" customFormat="false" ht="15" hidden="false" customHeight="false" outlineLevel="0" collapsed="false">
      <c r="A77" s="2" t="s">
        <v>174</v>
      </c>
      <c r="B77" s="3" t="s">
        <v>169</v>
      </c>
      <c r="C77" s="3" t="s">
        <v>323</v>
      </c>
      <c r="D77" s="3" t="s">
        <v>17</v>
      </c>
      <c r="E77" s="3" t="s">
        <v>268</v>
      </c>
      <c r="F77" s="5" t="b">
        <f aca="false">FALSE()</f>
        <v>0</v>
      </c>
      <c r="G77" s="3" t="s">
        <v>336</v>
      </c>
    </row>
    <row r="78" customFormat="false" ht="15" hidden="false" customHeight="false" outlineLevel="0" collapsed="false">
      <c r="A78" s="2" t="s">
        <v>176</v>
      </c>
      <c r="B78" s="3" t="s">
        <v>169</v>
      </c>
      <c r="C78" s="3" t="s">
        <v>323</v>
      </c>
      <c r="D78" s="3" t="s">
        <v>20</v>
      </c>
      <c r="E78" s="3" t="s">
        <v>270</v>
      </c>
      <c r="F78" s="4" t="b">
        <f aca="false">TRUE()</f>
        <v>1</v>
      </c>
      <c r="G78" s="3" t="s">
        <v>337</v>
      </c>
    </row>
    <row r="79" customFormat="false" ht="15" hidden="false" customHeight="false" outlineLevel="0" collapsed="false">
      <c r="A79" s="2" t="s">
        <v>178</v>
      </c>
      <c r="B79" s="3" t="s">
        <v>169</v>
      </c>
      <c r="C79" s="3" t="s">
        <v>323</v>
      </c>
      <c r="D79" s="3" t="s">
        <v>23</v>
      </c>
      <c r="E79" s="3" t="s">
        <v>272</v>
      </c>
      <c r="F79" s="5" t="b">
        <f aca="false">FALSE()</f>
        <v>0</v>
      </c>
      <c r="G79" s="3" t="s">
        <v>329</v>
      </c>
    </row>
    <row r="80" customFormat="false" ht="15" hidden="false" customHeight="false" outlineLevel="0" collapsed="false">
      <c r="A80" s="2" t="s">
        <v>180</v>
      </c>
      <c r="B80" s="3" t="s">
        <v>182</v>
      </c>
      <c r="C80" s="3" t="s">
        <v>323</v>
      </c>
      <c r="D80" s="3" t="s">
        <v>8</v>
      </c>
      <c r="E80" s="3" t="s">
        <v>262</v>
      </c>
      <c r="F80" s="5" t="b">
        <f aca="false">FALSE()</f>
        <v>0</v>
      </c>
      <c r="G80" s="3" t="s">
        <v>338</v>
      </c>
    </row>
    <row r="81" customFormat="false" ht="15" hidden="false" customHeight="false" outlineLevel="0" collapsed="false">
      <c r="A81" s="2" t="s">
        <v>183</v>
      </c>
      <c r="B81" s="3" t="s">
        <v>182</v>
      </c>
      <c r="C81" s="3" t="s">
        <v>323</v>
      </c>
      <c r="D81" s="3" t="s">
        <v>11</v>
      </c>
      <c r="E81" s="3" t="s">
        <v>264</v>
      </c>
      <c r="F81" s="4" t="b">
        <f aca="false">TRUE()</f>
        <v>1</v>
      </c>
      <c r="G81" s="3" t="s">
        <v>339</v>
      </c>
    </row>
    <row r="82" customFormat="false" ht="15" hidden="false" customHeight="false" outlineLevel="0" collapsed="false">
      <c r="A82" s="2" t="s">
        <v>185</v>
      </c>
      <c r="B82" s="3" t="s">
        <v>182</v>
      </c>
      <c r="C82" s="3" t="s">
        <v>323</v>
      </c>
      <c r="D82" s="3" t="s">
        <v>14</v>
      </c>
      <c r="E82" s="3" t="s">
        <v>266</v>
      </c>
      <c r="F82" s="5" t="b">
        <f aca="false">FALSE()</f>
        <v>0</v>
      </c>
      <c r="G82" s="3" t="s">
        <v>326</v>
      </c>
    </row>
    <row r="83" customFormat="false" ht="15" hidden="false" customHeight="false" outlineLevel="0" collapsed="false">
      <c r="A83" s="2" t="s">
        <v>187</v>
      </c>
      <c r="B83" s="3" t="s">
        <v>182</v>
      </c>
      <c r="C83" s="3" t="s">
        <v>323</v>
      </c>
      <c r="D83" s="3" t="s">
        <v>17</v>
      </c>
      <c r="E83" s="3" t="s">
        <v>268</v>
      </c>
      <c r="F83" s="4" t="b">
        <f aca="false">TRUE()</f>
        <v>1</v>
      </c>
      <c r="G83" s="3" t="s">
        <v>340</v>
      </c>
    </row>
    <row r="84" customFormat="false" ht="15" hidden="false" customHeight="false" outlineLevel="0" collapsed="false">
      <c r="A84" s="2" t="s">
        <v>189</v>
      </c>
      <c r="B84" s="3" t="s">
        <v>182</v>
      </c>
      <c r="C84" s="3" t="s">
        <v>323</v>
      </c>
      <c r="D84" s="3" t="s">
        <v>20</v>
      </c>
      <c r="E84" s="3" t="s">
        <v>270</v>
      </c>
      <c r="F84" s="4" t="b">
        <f aca="false">TRUE()</f>
        <v>1</v>
      </c>
      <c r="G84" s="3" t="s">
        <v>341</v>
      </c>
    </row>
    <row r="85" customFormat="false" ht="15" hidden="false" customHeight="false" outlineLevel="0" collapsed="false">
      <c r="A85" s="2" t="s">
        <v>191</v>
      </c>
      <c r="B85" s="3" t="s">
        <v>182</v>
      </c>
      <c r="C85" s="3" t="s">
        <v>323</v>
      </c>
      <c r="D85" s="3" t="s">
        <v>23</v>
      </c>
      <c r="E85" s="3" t="s">
        <v>272</v>
      </c>
      <c r="F85" s="5" t="b">
        <f aca="false">FALSE()</f>
        <v>0</v>
      </c>
      <c r="G85" s="3" t="s">
        <v>329</v>
      </c>
    </row>
    <row r="86" customFormat="false" ht="23.85" hidden="false" customHeight="false" outlineLevel="0" collapsed="false">
      <c r="A86" s="2" t="s">
        <v>193</v>
      </c>
      <c r="B86" s="3" t="s">
        <v>195</v>
      </c>
      <c r="C86" s="3" t="s">
        <v>323</v>
      </c>
      <c r="D86" s="3" t="s">
        <v>8</v>
      </c>
      <c r="E86" s="3" t="s">
        <v>262</v>
      </c>
      <c r="F86" s="5" t="b">
        <f aca="false">FALSE()</f>
        <v>0</v>
      </c>
      <c r="G86" s="3" t="s">
        <v>342</v>
      </c>
    </row>
    <row r="87" customFormat="false" ht="23.85" hidden="false" customHeight="false" outlineLevel="0" collapsed="false">
      <c r="A87" s="2" t="s">
        <v>196</v>
      </c>
      <c r="B87" s="3" t="s">
        <v>195</v>
      </c>
      <c r="C87" s="3" t="s">
        <v>323</v>
      </c>
      <c r="D87" s="3" t="s">
        <v>11</v>
      </c>
      <c r="E87" s="3" t="s">
        <v>264</v>
      </c>
      <c r="F87" s="4" t="b">
        <f aca="false">TRUE()</f>
        <v>1</v>
      </c>
      <c r="G87" s="3" t="s">
        <v>343</v>
      </c>
    </row>
    <row r="88" customFormat="false" ht="23.85" hidden="false" customHeight="false" outlineLevel="0" collapsed="false">
      <c r="A88" s="2" t="s">
        <v>198</v>
      </c>
      <c r="B88" s="3" t="s">
        <v>195</v>
      </c>
      <c r="C88" s="3" t="s">
        <v>323</v>
      </c>
      <c r="D88" s="3" t="s">
        <v>14</v>
      </c>
      <c r="E88" s="3" t="s">
        <v>266</v>
      </c>
      <c r="F88" s="5" t="b">
        <f aca="false">FALSE()</f>
        <v>0</v>
      </c>
      <c r="G88" s="3" t="s">
        <v>326</v>
      </c>
    </row>
    <row r="89" customFormat="false" ht="23.85" hidden="false" customHeight="false" outlineLevel="0" collapsed="false">
      <c r="A89" s="2" t="s">
        <v>200</v>
      </c>
      <c r="B89" s="3" t="s">
        <v>195</v>
      </c>
      <c r="C89" s="3" t="s">
        <v>323</v>
      </c>
      <c r="D89" s="3" t="s">
        <v>17</v>
      </c>
      <c r="E89" s="3" t="s">
        <v>268</v>
      </c>
      <c r="F89" s="5" t="b">
        <f aca="false">FALSE()</f>
        <v>0</v>
      </c>
      <c r="G89" s="3" t="s">
        <v>344</v>
      </c>
    </row>
    <row r="90" customFormat="false" ht="23.85" hidden="false" customHeight="false" outlineLevel="0" collapsed="false">
      <c r="A90" s="2" t="s">
        <v>202</v>
      </c>
      <c r="B90" s="3" t="s">
        <v>195</v>
      </c>
      <c r="C90" s="3" t="s">
        <v>323</v>
      </c>
      <c r="D90" s="3" t="s">
        <v>20</v>
      </c>
      <c r="E90" s="3" t="s">
        <v>270</v>
      </c>
      <c r="F90" s="4" t="b">
        <f aca="false">TRUE()</f>
        <v>1</v>
      </c>
      <c r="G90" s="3" t="s">
        <v>345</v>
      </c>
    </row>
    <row r="91" customFormat="false" ht="23.85" hidden="false" customHeight="false" outlineLevel="0" collapsed="false">
      <c r="A91" s="2" t="s">
        <v>204</v>
      </c>
      <c r="B91" s="3" t="s">
        <v>195</v>
      </c>
      <c r="C91" s="3" t="s">
        <v>323</v>
      </c>
      <c r="D91" s="3" t="s">
        <v>23</v>
      </c>
      <c r="E91" s="3" t="s">
        <v>272</v>
      </c>
      <c r="F91" s="5" t="b">
        <f aca="false">FALSE()</f>
        <v>0</v>
      </c>
      <c r="G91" s="3" t="s">
        <v>329</v>
      </c>
    </row>
    <row r="92" customFormat="false" ht="23.85" hidden="false" customHeight="false" outlineLevel="0" collapsed="false">
      <c r="A92" s="2" t="s">
        <v>206</v>
      </c>
      <c r="B92" s="3" t="s">
        <v>208</v>
      </c>
      <c r="C92" s="3" t="s">
        <v>323</v>
      </c>
      <c r="D92" s="3" t="s">
        <v>8</v>
      </c>
      <c r="E92" s="3" t="s">
        <v>262</v>
      </c>
      <c r="F92" s="5" t="b">
        <f aca="false">FALSE()</f>
        <v>0</v>
      </c>
      <c r="G92" s="3" t="s">
        <v>346</v>
      </c>
    </row>
    <row r="93" customFormat="false" ht="23.85" hidden="false" customHeight="false" outlineLevel="0" collapsed="false">
      <c r="A93" s="2" t="s">
        <v>209</v>
      </c>
      <c r="B93" s="3" t="s">
        <v>208</v>
      </c>
      <c r="C93" s="3" t="s">
        <v>323</v>
      </c>
      <c r="D93" s="3" t="s">
        <v>11</v>
      </c>
      <c r="E93" s="3" t="s">
        <v>264</v>
      </c>
      <c r="F93" s="4" t="b">
        <f aca="false">TRUE()</f>
        <v>1</v>
      </c>
      <c r="G93" s="3" t="s">
        <v>347</v>
      </c>
    </row>
    <row r="94" customFormat="false" ht="23.85" hidden="false" customHeight="false" outlineLevel="0" collapsed="false">
      <c r="A94" s="2" t="s">
        <v>211</v>
      </c>
      <c r="B94" s="3" t="s">
        <v>208</v>
      </c>
      <c r="C94" s="3" t="s">
        <v>323</v>
      </c>
      <c r="D94" s="3" t="s">
        <v>14</v>
      </c>
      <c r="E94" s="3" t="s">
        <v>266</v>
      </c>
      <c r="F94" s="5" t="b">
        <f aca="false">FALSE()</f>
        <v>0</v>
      </c>
      <c r="G94" s="3" t="s">
        <v>326</v>
      </c>
    </row>
    <row r="95" customFormat="false" ht="23.85" hidden="false" customHeight="false" outlineLevel="0" collapsed="false">
      <c r="A95" s="2" t="s">
        <v>213</v>
      </c>
      <c r="B95" s="3" t="s">
        <v>208</v>
      </c>
      <c r="C95" s="3" t="s">
        <v>323</v>
      </c>
      <c r="D95" s="3" t="s">
        <v>17</v>
      </c>
      <c r="E95" s="3" t="s">
        <v>268</v>
      </c>
      <c r="F95" s="5" t="b">
        <f aca="false">FALSE()</f>
        <v>0</v>
      </c>
      <c r="G95" s="3" t="s">
        <v>348</v>
      </c>
    </row>
    <row r="96" customFormat="false" ht="23.85" hidden="false" customHeight="false" outlineLevel="0" collapsed="false">
      <c r="A96" s="2" t="s">
        <v>215</v>
      </c>
      <c r="B96" s="3" t="s">
        <v>208</v>
      </c>
      <c r="C96" s="3" t="s">
        <v>323</v>
      </c>
      <c r="D96" s="3" t="s">
        <v>20</v>
      </c>
      <c r="E96" s="3" t="s">
        <v>270</v>
      </c>
      <c r="F96" s="4" t="b">
        <f aca="false">TRUE()</f>
        <v>1</v>
      </c>
      <c r="G96" s="3" t="s">
        <v>349</v>
      </c>
    </row>
    <row r="97" customFormat="false" ht="23.85" hidden="false" customHeight="false" outlineLevel="0" collapsed="false">
      <c r="A97" s="2" t="s">
        <v>217</v>
      </c>
      <c r="B97" s="3" t="s">
        <v>208</v>
      </c>
      <c r="C97" s="3" t="s">
        <v>323</v>
      </c>
      <c r="D97" s="3" t="s">
        <v>23</v>
      </c>
      <c r="E97" s="3" t="s">
        <v>272</v>
      </c>
      <c r="F97" s="5" t="b">
        <f aca="false">FALSE()</f>
        <v>0</v>
      </c>
      <c r="G97" s="3" t="s">
        <v>329</v>
      </c>
    </row>
    <row r="98" customFormat="false" ht="23.85" hidden="false" customHeight="false" outlineLevel="0" collapsed="false">
      <c r="A98" s="2" t="s">
        <v>219</v>
      </c>
      <c r="B98" s="3" t="s">
        <v>221</v>
      </c>
      <c r="C98" s="3" t="s">
        <v>323</v>
      </c>
      <c r="D98" s="3" t="s">
        <v>8</v>
      </c>
      <c r="E98" s="3" t="s">
        <v>262</v>
      </c>
      <c r="F98" s="5" t="b">
        <f aca="false">FALSE()</f>
        <v>0</v>
      </c>
      <c r="G98" s="3" t="s">
        <v>350</v>
      </c>
    </row>
    <row r="99" customFormat="false" ht="15" hidden="false" customHeight="false" outlineLevel="0" collapsed="false">
      <c r="A99" s="2" t="s">
        <v>222</v>
      </c>
      <c r="B99" s="3" t="s">
        <v>221</v>
      </c>
      <c r="C99" s="3" t="s">
        <v>323</v>
      </c>
      <c r="D99" s="3" t="s">
        <v>11</v>
      </c>
      <c r="E99" s="3" t="s">
        <v>264</v>
      </c>
      <c r="F99" s="4" t="b">
        <f aca="false">TRUE()</f>
        <v>1</v>
      </c>
      <c r="G99" s="3" t="s">
        <v>351</v>
      </c>
    </row>
    <row r="100" customFormat="false" ht="15" hidden="false" customHeight="false" outlineLevel="0" collapsed="false">
      <c r="A100" s="2" t="s">
        <v>224</v>
      </c>
      <c r="B100" s="3" t="s">
        <v>221</v>
      </c>
      <c r="C100" s="3" t="s">
        <v>323</v>
      </c>
      <c r="D100" s="3" t="s">
        <v>14</v>
      </c>
      <c r="E100" s="3" t="s">
        <v>266</v>
      </c>
      <c r="F100" s="5" t="b">
        <f aca="false">FALSE()</f>
        <v>0</v>
      </c>
      <c r="G100" s="3" t="s">
        <v>326</v>
      </c>
    </row>
    <row r="101" customFormat="false" ht="15" hidden="false" customHeight="false" outlineLevel="0" collapsed="false">
      <c r="A101" s="2" t="s">
        <v>226</v>
      </c>
      <c r="B101" s="3" t="s">
        <v>221</v>
      </c>
      <c r="C101" s="3" t="s">
        <v>323</v>
      </c>
      <c r="D101" s="3" t="s">
        <v>17</v>
      </c>
      <c r="E101" s="3" t="s">
        <v>268</v>
      </c>
      <c r="F101" s="5" t="b">
        <f aca="false">FALSE()</f>
        <v>0</v>
      </c>
      <c r="G101" s="3" t="s">
        <v>352</v>
      </c>
    </row>
    <row r="102" customFormat="false" ht="15" hidden="false" customHeight="false" outlineLevel="0" collapsed="false">
      <c r="A102" s="2" t="s">
        <v>228</v>
      </c>
      <c r="B102" s="3" t="s">
        <v>221</v>
      </c>
      <c r="C102" s="3" t="s">
        <v>323</v>
      </c>
      <c r="D102" s="3" t="s">
        <v>20</v>
      </c>
      <c r="E102" s="3" t="s">
        <v>270</v>
      </c>
      <c r="F102" s="4" t="b">
        <f aca="false">TRUE()</f>
        <v>1</v>
      </c>
      <c r="G102" s="3" t="s">
        <v>353</v>
      </c>
    </row>
    <row r="103" customFormat="false" ht="15" hidden="false" customHeight="false" outlineLevel="0" collapsed="false">
      <c r="A103" s="2" t="s">
        <v>230</v>
      </c>
      <c r="B103" s="3" t="s">
        <v>221</v>
      </c>
      <c r="C103" s="3" t="s">
        <v>323</v>
      </c>
      <c r="D103" s="3" t="s">
        <v>23</v>
      </c>
      <c r="E103" s="3" t="s">
        <v>272</v>
      </c>
      <c r="F103" s="5" t="b">
        <f aca="false">FALSE()</f>
        <v>0</v>
      </c>
      <c r="G103" s="3" t="s">
        <v>329</v>
      </c>
    </row>
    <row r="104" customFormat="false" ht="23.85" hidden="false" customHeight="false" outlineLevel="0" collapsed="false">
      <c r="A104" s="2" t="s">
        <v>232</v>
      </c>
      <c r="B104" s="3" t="s">
        <v>234</v>
      </c>
      <c r="C104" s="3" t="s">
        <v>323</v>
      </c>
      <c r="D104" s="3" t="s">
        <v>8</v>
      </c>
      <c r="E104" s="3" t="s">
        <v>262</v>
      </c>
      <c r="F104" s="5" t="b">
        <f aca="false">FALSE()</f>
        <v>0</v>
      </c>
      <c r="G104" s="3" t="s">
        <v>350</v>
      </c>
    </row>
    <row r="105" customFormat="false" ht="15" hidden="false" customHeight="false" outlineLevel="0" collapsed="false">
      <c r="A105" s="2" t="s">
        <v>235</v>
      </c>
      <c r="B105" s="3" t="s">
        <v>234</v>
      </c>
      <c r="C105" s="3" t="s">
        <v>323</v>
      </c>
      <c r="D105" s="3" t="s">
        <v>11</v>
      </c>
      <c r="E105" s="3" t="s">
        <v>264</v>
      </c>
      <c r="F105" s="4" t="b">
        <f aca="false">TRUE()</f>
        <v>1</v>
      </c>
      <c r="G105" s="3" t="s">
        <v>354</v>
      </c>
    </row>
    <row r="106" customFormat="false" ht="15" hidden="false" customHeight="false" outlineLevel="0" collapsed="false">
      <c r="A106" s="2" t="s">
        <v>237</v>
      </c>
      <c r="B106" s="3" t="s">
        <v>234</v>
      </c>
      <c r="C106" s="3" t="s">
        <v>323</v>
      </c>
      <c r="D106" s="3" t="s">
        <v>14</v>
      </c>
      <c r="E106" s="3" t="s">
        <v>266</v>
      </c>
      <c r="F106" s="5" t="b">
        <f aca="false">FALSE()</f>
        <v>0</v>
      </c>
      <c r="G106" s="3" t="s">
        <v>326</v>
      </c>
    </row>
    <row r="107" customFormat="false" ht="15" hidden="false" customHeight="false" outlineLevel="0" collapsed="false">
      <c r="A107" s="2" t="s">
        <v>239</v>
      </c>
      <c r="B107" s="3" t="s">
        <v>234</v>
      </c>
      <c r="C107" s="3" t="s">
        <v>323</v>
      </c>
      <c r="D107" s="3" t="s">
        <v>17</v>
      </c>
      <c r="E107" s="3" t="s">
        <v>268</v>
      </c>
      <c r="F107" s="5" t="b">
        <f aca="false">FALSE()</f>
        <v>0</v>
      </c>
      <c r="G107" s="3" t="s">
        <v>352</v>
      </c>
    </row>
    <row r="108" customFormat="false" ht="15" hidden="false" customHeight="false" outlineLevel="0" collapsed="false">
      <c r="A108" s="2" t="s">
        <v>241</v>
      </c>
      <c r="B108" s="3" t="s">
        <v>234</v>
      </c>
      <c r="C108" s="3" t="s">
        <v>323</v>
      </c>
      <c r="D108" s="3" t="s">
        <v>20</v>
      </c>
      <c r="E108" s="3" t="s">
        <v>270</v>
      </c>
      <c r="F108" s="4" t="b">
        <f aca="false">TRUE()</f>
        <v>1</v>
      </c>
      <c r="G108" s="3" t="s">
        <v>355</v>
      </c>
    </row>
    <row r="109" customFormat="false" ht="15" hidden="false" customHeight="false" outlineLevel="0" collapsed="false">
      <c r="A109" s="2" t="s">
        <v>243</v>
      </c>
      <c r="B109" s="3" t="s">
        <v>234</v>
      </c>
      <c r="C109" s="3" t="s">
        <v>323</v>
      </c>
      <c r="D109" s="3" t="s">
        <v>23</v>
      </c>
      <c r="E109" s="3" t="s">
        <v>272</v>
      </c>
      <c r="F109" s="5" t="b">
        <f aca="false">FALSE()</f>
        <v>0</v>
      </c>
      <c r="G109" s="3" t="s">
        <v>329</v>
      </c>
    </row>
    <row r="110" customFormat="false" ht="23.85" hidden="false" customHeight="false" outlineLevel="0" collapsed="false">
      <c r="A110" s="2" t="s">
        <v>245</v>
      </c>
      <c r="B110" s="3" t="s">
        <v>247</v>
      </c>
      <c r="C110" s="3" t="s">
        <v>323</v>
      </c>
      <c r="D110" s="3" t="s">
        <v>8</v>
      </c>
      <c r="E110" s="3" t="s">
        <v>262</v>
      </c>
      <c r="F110" s="5" t="b">
        <f aca="false">FALSE()</f>
        <v>0</v>
      </c>
      <c r="G110" s="3" t="s">
        <v>350</v>
      </c>
    </row>
    <row r="111" customFormat="false" ht="15" hidden="false" customHeight="false" outlineLevel="0" collapsed="false">
      <c r="A111" s="2" t="s">
        <v>248</v>
      </c>
      <c r="B111" s="3" t="s">
        <v>247</v>
      </c>
      <c r="C111" s="3" t="s">
        <v>323</v>
      </c>
      <c r="D111" s="3" t="s">
        <v>11</v>
      </c>
      <c r="E111" s="3" t="s">
        <v>264</v>
      </c>
      <c r="F111" s="4" t="b">
        <f aca="false">TRUE()</f>
        <v>1</v>
      </c>
      <c r="G111" s="3" t="s">
        <v>356</v>
      </c>
    </row>
    <row r="112" customFormat="false" ht="15" hidden="false" customHeight="false" outlineLevel="0" collapsed="false">
      <c r="A112" s="2" t="s">
        <v>250</v>
      </c>
      <c r="B112" s="3" t="s">
        <v>247</v>
      </c>
      <c r="C112" s="3" t="s">
        <v>323</v>
      </c>
      <c r="D112" s="3" t="s">
        <v>14</v>
      </c>
      <c r="E112" s="3" t="s">
        <v>266</v>
      </c>
      <c r="F112" s="5" t="b">
        <f aca="false">FALSE()</f>
        <v>0</v>
      </c>
      <c r="G112" s="3" t="s">
        <v>326</v>
      </c>
    </row>
    <row r="113" customFormat="false" ht="15" hidden="false" customHeight="false" outlineLevel="0" collapsed="false">
      <c r="A113" s="2" t="s">
        <v>252</v>
      </c>
      <c r="B113" s="3" t="s">
        <v>247</v>
      </c>
      <c r="C113" s="3" t="s">
        <v>323</v>
      </c>
      <c r="D113" s="3" t="s">
        <v>17</v>
      </c>
      <c r="E113" s="3" t="s">
        <v>268</v>
      </c>
      <c r="F113" s="5" t="b">
        <f aca="false">FALSE()</f>
        <v>0</v>
      </c>
      <c r="G113" s="3" t="s">
        <v>352</v>
      </c>
    </row>
    <row r="114" customFormat="false" ht="15" hidden="false" customHeight="false" outlineLevel="0" collapsed="false">
      <c r="A114" s="2" t="s">
        <v>254</v>
      </c>
      <c r="B114" s="3" t="s">
        <v>247</v>
      </c>
      <c r="C114" s="3" t="s">
        <v>323</v>
      </c>
      <c r="D114" s="3" t="s">
        <v>20</v>
      </c>
      <c r="E114" s="3" t="s">
        <v>270</v>
      </c>
      <c r="F114" s="4" t="b">
        <f aca="false">TRUE()</f>
        <v>1</v>
      </c>
      <c r="G114" s="3" t="s">
        <v>357</v>
      </c>
    </row>
    <row r="115" customFormat="false" ht="15" hidden="false" customHeight="false" outlineLevel="0" collapsed="false">
      <c r="A115" s="2" t="s">
        <v>256</v>
      </c>
      <c r="B115" s="3" t="s">
        <v>247</v>
      </c>
      <c r="C115" s="3" t="s">
        <v>323</v>
      </c>
      <c r="D115" s="3" t="s">
        <v>23</v>
      </c>
      <c r="E115" s="3" t="s">
        <v>272</v>
      </c>
      <c r="F115" s="5" t="b">
        <f aca="false">FALSE()</f>
        <v>0</v>
      </c>
      <c r="G115" s="3" t="s">
        <v>329</v>
      </c>
    </row>
  </sheetData>
  <autoFilter ref="A1:G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12"/>
  </cols>
  <sheetData>
    <row r="1" customFormat="false" ht="21.75" hidden="false" customHeight="true" outlineLevel="0" collapsed="false">
      <c r="A1" s="1" t="s">
        <v>4</v>
      </c>
      <c r="B1" s="1" t="s">
        <v>259</v>
      </c>
      <c r="C1" s="1" t="s">
        <v>358</v>
      </c>
      <c r="D1" s="1" t="s">
        <v>359</v>
      </c>
      <c r="E1" s="1" t="s">
        <v>360</v>
      </c>
    </row>
    <row r="2" customFormat="false" ht="15" hidden="false" customHeight="false" outlineLevel="0" collapsed="false">
      <c r="A2" s="6" t="s">
        <v>8</v>
      </c>
      <c r="B2" s="6" t="s">
        <v>262</v>
      </c>
      <c r="C2" s="7" t="n">
        <f aca="false">COUNTIFS(TARA!$E$2:$E$115,$A2,TARA!$D$2:$D$115,TRUE())</f>
        <v>7</v>
      </c>
      <c r="D2" s="7" t="n">
        <f aca="false">COUNTIFS(TARA!$E$2:$E$115,$A2,TARA!$D$2:$D$115,FALSE())</f>
        <v>12</v>
      </c>
      <c r="E2" s="7" t="n">
        <f aca="false">C2+D2</f>
        <v>19</v>
      </c>
    </row>
    <row r="3" customFormat="false" ht="15" hidden="false" customHeight="false" outlineLevel="0" collapsed="false">
      <c r="A3" s="6" t="s">
        <v>11</v>
      </c>
      <c r="B3" s="6" t="s">
        <v>264</v>
      </c>
      <c r="C3" s="7" t="n">
        <f aca="false">COUNTIFS(TARA!$E$2:$E$115,$A3,TARA!$D$2:$D$115,TRUE())</f>
        <v>19</v>
      </c>
      <c r="D3" s="7" t="n">
        <f aca="false">COUNTIFS(TARA!$E$2:$E$115,$A3,TARA!$D$2:$D$115,FALSE())</f>
        <v>0</v>
      </c>
      <c r="E3" s="7" t="n">
        <f aca="false">C3+D3</f>
        <v>19</v>
      </c>
    </row>
    <row r="4" customFormat="false" ht="15" hidden="false" customHeight="false" outlineLevel="0" collapsed="false">
      <c r="A4" s="6" t="s">
        <v>14</v>
      </c>
      <c r="B4" s="6" t="s">
        <v>266</v>
      </c>
      <c r="C4" s="7" t="n">
        <f aca="false">COUNTIFS(TARA!$E$2:$E$115,$A4,TARA!$D$2:$D$115,TRUE())</f>
        <v>2</v>
      </c>
      <c r="D4" s="7" t="n">
        <f aca="false">COUNTIFS(TARA!$E$2:$E$115,$A4,TARA!$D$2:$D$115,FALSE())</f>
        <v>17</v>
      </c>
      <c r="E4" s="7" t="n">
        <f aca="false">C4+D4</f>
        <v>19</v>
      </c>
    </row>
    <row r="5" customFormat="false" ht="15" hidden="false" customHeight="false" outlineLevel="0" collapsed="false">
      <c r="A5" s="6" t="s">
        <v>17</v>
      </c>
      <c r="B5" s="6" t="s">
        <v>268</v>
      </c>
      <c r="C5" s="7" t="n">
        <f aca="false">COUNTIFS(TARA!$E$2:$E$115,$A5,TARA!$D$2:$D$115,TRUE())</f>
        <v>5</v>
      </c>
      <c r="D5" s="7" t="n">
        <f aca="false">COUNTIFS(TARA!$E$2:$E$115,$A5,TARA!$D$2:$D$115,FALSE())</f>
        <v>14</v>
      </c>
      <c r="E5" s="7" t="n">
        <f aca="false">C5+D5</f>
        <v>19</v>
      </c>
    </row>
    <row r="6" customFormat="false" ht="15" hidden="false" customHeight="false" outlineLevel="0" collapsed="false">
      <c r="A6" s="6" t="s">
        <v>20</v>
      </c>
      <c r="B6" s="6" t="s">
        <v>270</v>
      </c>
      <c r="C6" s="7" t="n">
        <f aca="false">COUNTIFS(TARA!$E$2:$E$115,$A6,TARA!$D$2:$D$115,TRUE())</f>
        <v>19</v>
      </c>
      <c r="D6" s="7" t="n">
        <f aca="false">COUNTIFS(TARA!$E$2:$E$115,$A6,TARA!$D$2:$D$115,FALSE())</f>
        <v>0</v>
      </c>
      <c r="E6" s="7" t="n">
        <f aca="false">C6+D6</f>
        <v>19</v>
      </c>
    </row>
    <row r="7" customFormat="false" ht="15" hidden="false" customHeight="false" outlineLevel="0" collapsed="false">
      <c r="A7" s="6" t="s">
        <v>23</v>
      </c>
      <c r="B7" s="6" t="s">
        <v>272</v>
      </c>
      <c r="C7" s="7" t="n">
        <f aca="false">COUNTIFS(TARA!$E$2:$E$115,$A7,TARA!$D$2:$D$115,TRUE())</f>
        <v>4</v>
      </c>
      <c r="D7" s="7" t="n">
        <f aca="false">COUNTIFS(TARA!$E$2:$E$115,$A7,TARA!$D$2:$D$115,FALSE())</f>
        <v>15</v>
      </c>
      <c r="E7" s="7" t="n">
        <f aca="false">C7+D7</f>
        <v>19</v>
      </c>
    </row>
    <row r="8" customFormat="false" ht="15" hidden="false" customHeight="false" outlineLevel="0" collapsed="false">
      <c r="A8" s="8" t="s">
        <v>360</v>
      </c>
      <c r="B8" s="8"/>
      <c r="C8" s="9" t="n">
        <f aca="false">SUM(C2:C7)</f>
        <v>56</v>
      </c>
      <c r="D8" s="9" t="n">
        <f aca="false">SUM(D2:D7)</f>
        <v>58</v>
      </c>
      <c r="E8" s="9" t="n">
        <f aca="false">SUM(E2:E7)</f>
        <v>114</v>
      </c>
    </row>
    <row r="10" customFormat="false" ht="15" hidden="false" customHeight="false" outlineLevel="0" collapsed="false">
      <c r="A10" s="10" t="s">
        <v>361</v>
      </c>
    </row>
    <row r="11" customFormat="false" ht="42" hidden="false" customHeight="true" outlineLevel="0" collapsed="false">
      <c r="A11" s="11" t="s">
        <v>362</v>
      </c>
      <c r="B11" s="11"/>
      <c r="C11" s="11"/>
      <c r="D11" s="11"/>
      <c r="E11" s="11"/>
    </row>
    <row r="12" customFormat="false" ht="42" hidden="false" customHeight="true" outlineLevel="0" collapsed="false">
      <c r="A12" s="11" t="s">
        <v>363</v>
      </c>
      <c r="B12" s="11"/>
      <c r="C12" s="11"/>
      <c r="D12" s="11"/>
      <c r="E12" s="11"/>
    </row>
    <row r="13" customFormat="false" ht="42" hidden="false" customHeight="true" outlineLevel="0" collapsed="false">
      <c r="A13" s="11" t="s">
        <v>364</v>
      </c>
      <c r="B13" s="11"/>
      <c r="C13" s="11"/>
      <c r="D13" s="11"/>
      <c r="E13" s="11"/>
    </row>
    <row r="14" customFormat="false" ht="42" hidden="false" customHeight="true" outlineLevel="0" collapsed="false">
      <c r="A14" s="11" t="s">
        <v>365</v>
      </c>
      <c r="B14" s="11"/>
      <c r="C14" s="11"/>
      <c r="D14" s="11"/>
      <c r="E14" s="11"/>
    </row>
    <row r="15" customFormat="false" ht="42" hidden="false" customHeight="true" outlineLevel="0" collapsed="false">
      <c r="A15" s="11" t="s">
        <v>366</v>
      </c>
      <c r="B15" s="11"/>
      <c r="C15" s="11"/>
      <c r="D15" s="11"/>
      <c r="E15" s="11"/>
    </row>
  </sheetData>
  <mergeCells count="5"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2026-09-28T07:41:19Z</dcterms:created>
  <dc:creator>openpyxl</dc:creator>
  <dc:description/>
  <dc:language>en-US</dc:language>
  <cp:lastModifiedBy/>
  <dcterms:modified xsi:type="dcterms:W3CDTF">2026-09-28T07:41:19Z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