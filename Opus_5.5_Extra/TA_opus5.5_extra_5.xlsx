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reat Scenarios" sheetId="1" state="visible" r:id="rId3"/>
    <sheet name="Summary" sheetId="2" state="visible" r:id="rId4"/>
    <sheet name="Notes" sheetId="3" state="visible" r:id="rId5"/>
  </sheets>
  <definedNames>
    <definedName function="false" hidden="true" localSheetId="0" name="_xlnm._FilterDatabase" vbProcedure="false">'Threat Scenarios'!$A$1:$E$88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<sst xmlns="http://schemas.openxmlformats.org/spreadsheetml/2006/main" count="415" uniqueCount="233">
  <si>
    <t xml:space="preserve">ID</t>
  </si>
  <si>
    <t xml:space="preserve">Name</t>
  </si>
  <si>
    <t xml:space="preserve">Assets</t>
  </si>
  <si>
    <t xml:space="preserve">To Be Assessed</t>
  </si>
  <si>
    <t xml:space="preserve">Category</t>
  </si>
  <si>
    <t xml:space="preserve">TS-001</t>
  </si>
  <si>
    <t xml:space="preserve">Spoofing of AI Controller Module: rogue ECU impersonates the controller and sends forged ACC decisions to the Actuation Module</t>
  </si>
  <si>
    <t xml:space="preserve">AI Controller Module</t>
  </si>
  <si>
    <t xml:space="preserve">Spoofing</t>
  </si>
  <si>
    <t xml:space="preserve">TS-002</t>
  </si>
  <si>
    <t xml:space="preserve">Tampering with AI Controller Module: manipulation of AI model weights, parameters or software (model poisoning, backdoor, malicious update)</t>
  </si>
  <si>
    <t xml:space="preserve">Tampering</t>
  </si>
  <si>
    <t xml:space="preserve">TS-003</t>
  </si>
  <si>
    <t xml:space="preserve">Repudiation of AI Controller Module: no tamper-proof log to prove which ACC decision was taken and on which inputs</t>
  </si>
  <si>
    <t xml:space="preserve">Repudiation</t>
  </si>
  <si>
    <t xml:space="preserve">TS-004</t>
  </si>
  <si>
    <t xml:space="preserve">Information disclosure of AI Controller Module: extraction of the proprietary AI model (model stealing), enabling offline design of adversarial inputs</t>
  </si>
  <si>
    <t xml:space="preserve">Information Disclosure</t>
  </si>
  <si>
    <t xml:space="preserve">TS-005</t>
  </si>
  <si>
    <t xml:space="preserve">Denial of service on AI Controller Module: resource exhaustion or crafted inputs (sponge examples) delay or block ACC decisions</t>
  </si>
  <si>
    <t xml:space="preserve">Denial of Service</t>
  </si>
  <si>
    <t xml:space="preserve">TS-006</t>
  </si>
  <si>
    <t xml:space="preserve">Elevation of privilege on AI Controller Module: software vulnerability exploited to gain privileged execution and full control of ACC decisions</t>
  </si>
  <si>
    <t xml:space="preserve">Elevation of Privilege</t>
  </si>
  <si>
    <t xml:space="preserve">TS-007</t>
  </si>
  <si>
    <t xml:space="preserve">Spoofing of Perception Module: impersonation of the module to deliver fabricated environment data to the AI Controller Module</t>
  </si>
  <si>
    <t xml:space="preserve">Perception Module</t>
  </si>
  <si>
    <t xml:space="preserve">TS-008</t>
  </si>
  <si>
    <t xml:space="preserve">Tampering with Perception Module: manipulation of sensor fusion software or calibration parameters falsifies lead vehicle distance and speed</t>
  </si>
  <si>
    <t xml:space="preserve">TS-009</t>
  </si>
  <si>
    <t xml:space="preserve">Repudiation of Perception Module: denial of having produced specific environment data</t>
  </si>
  <si>
    <t xml:space="preserve">TS-010</t>
  </si>
  <si>
    <t xml:space="preserve">Information disclosure of Perception Module: leakage of processed environment data (road users, location) or proprietary fusion algorithms</t>
  </si>
  <si>
    <t xml:space="preserve">TS-011</t>
  </si>
  <si>
    <t xml:space="preserve">Denial of service on Perception Module: flooding with excessive or malformed sensor data prevents real-time object list output</t>
  </si>
  <si>
    <t xml:space="preserve">TS-012</t>
  </si>
  <si>
    <t xml:space="preserve">Elevation of privilege on Perception Module: exploited software gives the attacker control over environment data sent to the AI Controller Module</t>
  </si>
  <si>
    <t xml:space="preserve">TS-013</t>
  </si>
  <si>
    <t xml:space="preserve">Spoofing of Actuation Module: rogue node impersonates the module and issues forged commands to Brake, Throttle and AEB</t>
  </si>
  <si>
    <t xml:space="preserve">Actuation Module</t>
  </si>
  <si>
    <t xml:space="preserve">TS-014</t>
  </si>
  <si>
    <t xml:space="preserve">Tampering with Actuation Module: modified software or limits (max acceleration/deceleration, command mapping) cause unintended braking or acceleration</t>
  </si>
  <si>
    <t xml:space="preserve">TS-015</t>
  </si>
  <si>
    <t xml:space="preserve">Repudiation of Actuation Module: denial of having executed specific brake or throttle commands</t>
  </si>
  <si>
    <t xml:space="preserve">TS-016</t>
  </si>
  <si>
    <t xml:space="preserve">Information disclosure of Actuation Module: leakage of actuation parameters and calibration data</t>
  </si>
  <si>
    <t xml:space="preserve">TS-017</t>
  </si>
  <si>
    <t xml:space="preserve">Denial of service on Actuation Module: crash or overload prevents execution of ACC commands (no deceleration when required)</t>
  </si>
  <si>
    <t xml:space="preserve">TS-018</t>
  </si>
  <si>
    <t xml:space="preserve">Elevation of privilege on Actuation Module: exploited software gives the attacker direct control of brake, throttle and AEB commands</t>
  </si>
  <si>
    <t xml:space="preserve">TS-019</t>
  </si>
  <si>
    <t xml:space="preserve">Spoofing of Camera: adversarial patches or projected/displayed fake objects and lane markings deceive the AI-based object detection</t>
  </si>
  <si>
    <t xml:space="preserve">Camera</t>
  </si>
  <si>
    <t xml:space="preserve">TS-020</t>
  </si>
  <si>
    <t xml:space="preserve">Tampering with Camera: physical misalignment, lens manipulation or modified firmware/calibration degrade object detection</t>
  </si>
  <si>
    <t xml:space="preserve">TS-021</t>
  </si>
  <si>
    <t xml:space="preserve">Repudiation of Camera: denial of having captured specific image data</t>
  </si>
  <si>
    <t xml:space="preserve">TS-022</t>
  </si>
  <si>
    <t xml:space="preserve">Information disclosure of Camera: extraction of captured images from the sensor unit</t>
  </si>
  <si>
    <t xml:space="preserve">TS-023</t>
  </si>
  <si>
    <t xml:space="preserve">Denial of service on Camera: blinding with strong light or laser, or covering the lens, removes visual input</t>
  </si>
  <si>
    <t xml:space="preserve">TS-024</t>
  </si>
  <si>
    <t xml:space="preserve">Elevation of privilege on Camera: exploitation of sensor firmware to gain privileged access</t>
  </si>
  <si>
    <t xml:space="preserve">TS-025</t>
  </si>
  <si>
    <t xml:space="preserve">Spoofing of Radar: injected or replayed radar signals create ghost targets or falsify distance/relative speed (phantom braking)</t>
  </si>
  <si>
    <t xml:space="preserve">Radar</t>
  </si>
  <si>
    <t xml:space="preserve">TS-026</t>
  </si>
  <si>
    <t xml:space="preserve">Tampering with Radar: physical misalignment of the sensor mount, radome obstruction or modified firmware/calibration</t>
  </si>
  <si>
    <t xml:space="preserve">TS-027</t>
  </si>
  <si>
    <t xml:space="preserve">Repudiation of Radar: denial of having produced specific target data</t>
  </si>
  <si>
    <t xml:space="preserve">TS-028</t>
  </si>
  <si>
    <t xml:space="preserve">Information disclosure of Radar: extraction of radar target data from the sensor unit</t>
  </si>
  <si>
    <t xml:space="preserve">TS-029</t>
  </si>
  <si>
    <t xml:space="preserve">Denial of service on Radar: RF jamming in the radar frequency band prevents target detection</t>
  </si>
  <si>
    <t xml:space="preserve">TS-030</t>
  </si>
  <si>
    <t xml:space="preserve">Elevation of privilege on Radar: exploitation of sensor firmware to gain privileged access</t>
  </si>
  <si>
    <t xml:space="preserve">TS-031</t>
  </si>
  <si>
    <t xml:space="preserve">Spoofing of LIDAR: injected laser pulses create phantom objects or hide real obstacles in the point cloud</t>
  </si>
  <si>
    <t xml:space="preserve">LIDAR</t>
  </si>
  <si>
    <t xml:space="preserve">TS-032</t>
  </si>
  <si>
    <t xml:space="preserve">Tampering with LIDAR: physical obstruction or misalignment, modified firmware/calibration distort the point cloud</t>
  </si>
  <si>
    <t xml:space="preserve">TS-033</t>
  </si>
  <si>
    <t xml:space="preserve">Repudiation of LIDAR: denial of having produced specific point cloud data</t>
  </si>
  <si>
    <t xml:space="preserve">TS-034</t>
  </si>
  <si>
    <t xml:space="preserve">Information disclosure of LIDAR: extraction of point cloud data from the sensor unit</t>
  </si>
  <si>
    <t xml:space="preserve">TS-035</t>
  </si>
  <si>
    <t xml:space="preserve">Denial of service on LIDAR: saturation with high-intensity laser light blinds the sensor</t>
  </si>
  <si>
    <t xml:space="preserve">TS-036</t>
  </si>
  <si>
    <t xml:space="preserve">Elevation of privilege on LIDAR: exploitation of sensor firmware to gain privileged access</t>
  </si>
  <si>
    <t xml:space="preserve">TS-037</t>
  </si>
  <si>
    <t xml:space="preserve">Spoofing of OBU: forged V2X messages or impersonated road users/RSUs (Sybil attack) report false traffic situations</t>
  </si>
  <si>
    <t xml:space="preserve">OBU</t>
  </si>
  <si>
    <t xml:space="preserve">TS-038</t>
  </si>
  <si>
    <t xml:space="preserve">Tampering with OBU: modified firmware, software or certificate/key store via wireless or physical interfaces</t>
  </si>
  <si>
    <t xml:space="preserve">TS-039</t>
  </si>
  <si>
    <t xml:space="preserve">Repudiation of OBU: sender of malicious V2X messages cannot be identified due to missing signatures or logging</t>
  </si>
  <si>
    <t xml:space="preserve">TS-040</t>
  </si>
  <si>
    <t xml:space="preserve">Information disclosure of OBU: leakage of vehicle position, trajectory, identifiers or cryptographic keys (tracking, privacy)</t>
  </si>
  <si>
    <t xml:space="preserve">TS-041</t>
  </si>
  <si>
    <t xml:space="preserve">Denial of service on OBU: V2X channel jamming or message flooding exhausts verification resources</t>
  </si>
  <si>
    <t xml:space="preserve">TS-042</t>
  </si>
  <si>
    <t xml:space="preserve">Elevation of privilege on OBU: remote exploit via V2X/cellular interface enables pivoting into the in-vehicle network</t>
  </si>
  <si>
    <t xml:space="preserve">TS-043</t>
  </si>
  <si>
    <t xml:space="preserve">Spoofing of Brake: rogue device impersonates the brake actuator towards the Actuation Module</t>
  </si>
  <si>
    <t xml:space="preserve">Brake</t>
  </si>
  <si>
    <t xml:space="preserve">TS-044</t>
  </si>
  <si>
    <t xml:space="preserve">Tampering with Brake: modified actuator firmware or calibration alters braking force (reduced or unintended braking)</t>
  </si>
  <si>
    <t xml:space="preserve">TS-045</t>
  </si>
  <si>
    <t xml:space="preserve">Repudiation of Brake: denial of having executed a brake command</t>
  </si>
  <si>
    <t xml:space="preserve">TS-046</t>
  </si>
  <si>
    <t xml:space="preserve">Information disclosure of Brake: extraction of actuator state or calibration data</t>
  </si>
  <si>
    <t xml:space="preserve">TS-047</t>
  </si>
  <si>
    <t xml:space="preserve">Denial of service on Brake: actuator made unavailable to ACC commands, vehicle cannot decelerate</t>
  </si>
  <si>
    <t xml:space="preserve">TS-048</t>
  </si>
  <si>
    <t xml:space="preserve">Elevation of privilege on Brake: exploitation of actuator firmware to gain privileged access</t>
  </si>
  <si>
    <t xml:space="preserve">TS-049</t>
  </si>
  <si>
    <t xml:space="preserve">Spoofing of Throttle: rogue device impersonates the throttle actuator towards the Actuation Module</t>
  </si>
  <si>
    <t xml:space="preserve">Throttle</t>
  </si>
  <si>
    <t xml:space="preserve">TS-050</t>
  </si>
  <si>
    <t xml:space="preserve">Tampering with Throttle: modified actuator firmware or calibration alters torque request (unintended acceleration)</t>
  </si>
  <si>
    <t xml:space="preserve">TS-051</t>
  </si>
  <si>
    <t xml:space="preserve">Repudiation of Throttle: denial of having executed a throttle command</t>
  </si>
  <si>
    <t xml:space="preserve">TS-052</t>
  </si>
  <si>
    <t xml:space="preserve">Information disclosure of Throttle: extraction of actuator state or calibration data</t>
  </si>
  <si>
    <t xml:space="preserve">TS-053</t>
  </si>
  <si>
    <t xml:space="preserve">Denial of service on Throttle: actuator made unavailable to ACC commands, vehicle speed cannot be regulated</t>
  </si>
  <si>
    <t xml:space="preserve">TS-054</t>
  </si>
  <si>
    <t xml:space="preserve">Elevation of privilege on Throttle: exploitation of actuator firmware to gain privileged access</t>
  </si>
  <si>
    <t xml:space="preserve">TS-055</t>
  </si>
  <si>
    <t xml:space="preserve">Spoofing of AEB: rogue device impersonates the AEB unit towards the Actuation Module</t>
  </si>
  <si>
    <t xml:space="preserve">AEB</t>
  </si>
  <si>
    <t xml:space="preserve">TS-056</t>
  </si>
  <si>
    <t xml:space="preserve">Tampering with AEB: modified trigger thresholds or logic disable emergency braking or cause false activation</t>
  </si>
  <si>
    <t xml:space="preserve">TS-057</t>
  </si>
  <si>
    <t xml:space="preserve">Repudiation of AEB: denial of having triggered an emergency braking event</t>
  </si>
  <si>
    <t xml:space="preserve">TS-058</t>
  </si>
  <si>
    <t xml:space="preserve">Information disclosure of AEB: extraction of AEB configuration or event data</t>
  </si>
  <si>
    <t xml:space="preserve">TS-059</t>
  </si>
  <si>
    <t xml:space="preserve">Denial of service on AEB: AEB unavailable when a collision is imminent</t>
  </si>
  <si>
    <t xml:space="preserve">TS-060</t>
  </si>
  <si>
    <t xml:space="preserve">Elevation of privilege on AEB: exploitation of AEB firmware to gain privileged access</t>
  </si>
  <si>
    <t xml:space="preserve">TS-061</t>
  </si>
  <si>
    <t xml:space="preserve">Tampering with camera data stream: frame injection, modification or replay on the camera link</t>
  </si>
  <si>
    <t xml:space="preserve">C Out → PM In (Camera data)</t>
  </si>
  <si>
    <t xml:space="preserve">TS-062</t>
  </si>
  <si>
    <t xml:space="preserve">Information disclosure of camera data stream: eavesdropping on video frames (privacy of road users, vehicle location)</t>
  </si>
  <si>
    <t xml:space="preserve">TS-063</t>
  </si>
  <si>
    <t xml:space="preserve">Denial of service on camera data stream: link interruption or flooding causes frame loss at the Perception Module</t>
  </si>
  <si>
    <t xml:space="preserve">TS-064</t>
  </si>
  <si>
    <t xml:space="preserve">Tampering with radar data: injection or modification of target distance/relative speed on the in-vehicle bus</t>
  </si>
  <si>
    <t xml:space="preserve">R Out → PM In (Radar data)</t>
  </si>
  <si>
    <t xml:space="preserve">TS-065</t>
  </si>
  <si>
    <t xml:space="preserve">Information disclosure of radar data: eavesdropping on radar target lists</t>
  </si>
  <si>
    <t xml:space="preserve">TS-066</t>
  </si>
  <si>
    <t xml:space="preserve">Denial of service on radar data: bus flooding or interruption blocks radar data delivery</t>
  </si>
  <si>
    <t xml:space="preserve">TS-067</t>
  </si>
  <si>
    <t xml:space="preserve">Tampering with LIDAR data: injection or modification of point cloud data in transit</t>
  </si>
  <si>
    <t xml:space="preserve">L Out → PM In (LIDAR data)</t>
  </si>
  <si>
    <t xml:space="preserve">TS-068</t>
  </si>
  <si>
    <t xml:space="preserve">Information disclosure of LIDAR data: eavesdropping on point cloud data</t>
  </si>
  <si>
    <t xml:space="preserve">TS-069</t>
  </si>
  <si>
    <t xml:space="preserve">Denial of service on LIDAR data: link flooding or interruption blocks point cloud delivery</t>
  </si>
  <si>
    <t xml:space="preserve">TS-070</t>
  </si>
  <si>
    <t xml:space="preserve">Tampering with V2X data: modification of already verified V2X information on the in-vehicle link before it reaches perception</t>
  </si>
  <si>
    <t xml:space="preserve">OBU Out → PM In (V2X data)</t>
  </si>
  <si>
    <t xml:space="preserve">TS-071</t>
  </si>
  <si>
    <t xml:space="preserve">Information disclosure of V2X data: eavesdropping on forwarded V2X information</t>
  </si>
  <si>
    <t xml:space="preserve">TS-072</t>
  </si>
  <si>
    <t xml:space="preserve">Denial of service on V2X data: flooding or interruption blocks cooperative awareness data</t>
  </si>
  <si>
    <t xml:space="preserve">TS-073</t>
  </si>
  <si>
    <t xml:space="preserve">Tampering with perception output: manipulation of the fused object list (lead vehicle distance, relative speed) sent to the AI Controller Module</t>
  </si>
  <si>
    <t xml:space="preserve">PM Out → AI In (Environment data)</t>
  </si>
  <si>
    <t xml:space="preserve">TS-074</t>
  </si>
  <si>
    <t xml:space="preserve">Information disclosure of perception output: eavesdropping on the fused environment model</t>
  </si>
  <si>
    <t xml:space="preserve">TS-075</t>
  </si>
  <si>
    <t xml:space="preserve">Denial of service on perception output: delayed or blocked object data forces decisions on stale inputs</t>
  </si>
  <si>
    <t xml:space="preserve">TS-076</t>
  </si>
  <si>
    <t xml:space="preserve">Tampering with ACC control decisions: injection or modification of target acceleration/deceleration requests</t>
  </si>
  <si>
    <t xml:space="preserve">AI Out → AM In (ACC decisions)</t>
  </si>
  <si>
    <t xml:space="preserve">TS-077</t>
  </si>
  <si>
    <t xml:space="preserve">Information disclosure of ACC control decisions: eavesdropping on control requests</t>
  </si>
  <si>
    <t xml:space="preserve">TS-078</t>
  </si>
  <si>
    <t xml:space="preserve">Denial of service on ACC control decisions: blocked or delayed requests prevent timely actuation</t>
  </si>
  <si>
    <t xml:space="preserve">TS-079</t>
  </si>
  <si>
    <t xml:space="preserve">Tampering with brake command: injection, suppression or replay of brake requests (e.g. CAN message injection)</t>
  </si>
  <si>
    <t xml:space="preserve">AM Out → B In (Brake command)</t>
  </si>
  <si>
    <t xml:space="preserve">TS-080</t>
  </si>
  <si>
    <t xml:space="preserve">Information disclosure of brake command: eavesdropping on brake requests</t>
  </si>
  <si>
    <t xml:space="preserve">TS-081</t>
  </si>
  <si>
    <t xml:space="preserve">Denial of service on brake command: bus flooding blocks brake requests</t>
  </si>
  <si>
    <t xml:space="preserve">TS-082</t>
  </si>
  <si>
    <t xml:space="preserve">Tampering with throttle command: injection, suppression or replay of throttle requests (e.g. CAN message injection)</t>
  </si>
  <si>
    <t xml:space="preserve">AM Out → T In (Throttle command)</t>
  </si>
  <si>
    <t xml:space="preserve">TS-083</t>
  </si>
  <si>
    <t xml:space="preserve">Information disclosure of throttle command: eavesdropping on throttle requests</t>
  </si>
  <si>
    <t xml:space="preserve">TS-084</t>
  </si>
  <si>
    <t xml:space="preserve">Denial of service on throttle command: bus flooding blocks throttle requests</t>
  </si>
  <si>
    <t xml:space="preserve">TS-085</t>
  </si>
  <si>
    <t xml:space="preserve">Tampering with AEB command: forged activation or suppression of emergency braking requests</t>
  </si>
  <si>
    <t xml:space="preserve">AM Out → AEB In (AEB command)</t>
  </si>
  <si>
    <t xml:space="preserve">TS-086</t>
  </si>
  <si>
    <t xml:space="preserve">Information disclosure of AEB command: eavesdropping on AEB requests</t>
  </si>
  <si>
    <t xml:space="preserve">TS-087</t>
  </si>
  <si>
    <t xml:space="preserve">Denial of service on AEB command: bus flooding blocks AEB requests</t>
  </si>
  <si>
    <t xml:space="preserve">TARA Summary - AI engine result (formulas read from 'Threat Scenarios')</t>
  </si>
  <si>
    <t xml:space="preserve">A. Threat scenarios per STRIDE category</t>
  </si>
  <si>
    <t xml:space="preserve">Total</t>
  </si>
  <si>
    <t xml:space="preserve">To Be Assessed = TRUE</t>
  </si>
  <si>
    <t xml:space="preserve">To Be Assessed = FALSE</t>
  </si>
  <si>
    <t xml:space="preserve">B. Asset x STRIDE matrix (TRUE = to be assessed, FALSE = identified but not assessed, n/a = category not applied to this asset type)</t>
  </si>
  <si>
    <t xml:space="preserve">Asset</t>
  </si>
  <si>
    <t xml:space="preserve">Assessed count</t>
  </si>
  <si>
    <t xml:space="preserve">TARA of AI-based ACC - AI engine output: scope, method and assessment criteria</t>
  </si>
  <si>
    <t xml:space="preserve">1. Scope</t>
  </si>
  <si>
    <t xml:space="preserve">Assets are taken from the medini analyze architecture model so that both TARAs start from the same item definition.</t>
  </si>
  <si>
    <t xml:space="preserve">Elements (10): AI Controller Module (upper level), Perception Module with Camera, Radar, LIDAR and OBU, Actuation Module with Brake, Throttle and AEB.</t>
  </si>
  <si>
    <t xml:space="preserve">Connections (9): the port-to-port links shown in the medini model (C Out, R Out, L Out, OBU Out → PM In; PM Out → AI In; AI Out → AM In; AM Out → B In, T In, AEB In).</t>
  </si>
  <si>
    <t xml:space="preserve">Not included: the direct Perception → Actuation link and the Continuous Vehicle Dynamics Monitoring Module shown in the general architecture, because they are not part of the medini model.</t>
  </si>
  <si>
    <t xml:space="preserve">2. Method</t>
  </si>
  <si>
    <t xml:space="preserve">STRIDE: Spoofing (authenticity), Tampering (integrity), Repudiation (non-repudiation), Information Disclosure (confidentiality), Denial of Service (availability), Elevation of Privilege (authorization).</t>
  </si>
  <si>
    <t xml:space="preserve">Architecture elements: all six STRIDE categories are applied to every element, one threat scenario per element and category.</t>
  </si>
  <si>
    <t xml:space="preserve">Connections: Tampering, Information Disclosure and Denial of Service only (STRIDE-per-element rule for data flows). Spoofing of a flow's source is covered by the Spoofing scenario of the sending element.</t>
  </si>
  <si>
    <t xml:space="preserve">IDs run element by element in the order of the medini model, then connection by connection.</t>
  </si>
  <si>
    <t xml:space="preserve">3. To Be Assessed criteria</t>
  </si>
  <si>
    <t xml:space="preserve">TRUE: the threat is technically plausible for this asset AND its success can lead to a damage scenario (safety, financial, operational or privacy impact). These scenarios go forward to impact rating and attack feasibility.</t>
  </si>
  <si>
    <t xml:space="preserve">FALSE: the cybersecurity property is not meaningful for this asset, so no relevant damage scenario follows. Main cases:</t>
  </si>
  <si>
    <t xml:space="preserve">  - Repudiation on sensors, actuators, AEB, Perception and Actuation Modules: they take no accountable decisions; decision accountability is assessed on the AI Controller Module and V2X message accountability on the OBU.</t>
  </si>
  <si>
    <t xml:space="preserve">  - Information Disclosure on Radar, LIDAR, actuators, AEB, Actuation Module and on non-camera data flows: the data carries no personal or confidential content. Camera image data (privacy) and the AI model (intellectual property) are assessed.</t>
  </si>
  <si>
    <t xml:space="preserve">  - Information Disclosure on the Camera element: the sensor does not store images; disclosure of image data is assessed on its connection (C Out → PM In).</t>
  </si>
  <si>
    <t xml:space="preserve">  - Elevation of Privilege on sensors, actuators and AEB: modeled as hardware parts without privilege levels and reachable only through the Perception or Actuation Module, whose Elevation of Privilege is assessed. Firmware manipulation is covered under Tampering.</t>
  </si>
  <si>
    <t xml:space="preserve">  - Spoofing on Brake, Throttle and AEB: they only receive commands in the model, so impersonating them has no effect; forged commands are assessed on the Actuation Module and the command connections.</t>
  </si>
  <si>
    <t xml:space="preserve">4. AI-specific threats covered</t>
  </si>
  <si>
    <t xml:space="preserve">Adversarial inputs and physical adversarial patches (Spoofing of Camera, Radar, LIDAR); model poisoning and backdoors (Tampering with AI Controller Module); model extraction (Information Disclosure of AI Controller Module); sponge examples / inference latency attacks (Denial of Service on AI Controller Module).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</si>
</sst>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8"/>
    <col collapsed="false" customWidth="true" hidden="false" outlineLevel="0" max="3" min="3" style="0" width="32"/>
    <col collapsed="false" customWidth="true" hidden="false" outlineLevel="0" max="4" min="4" style="0" width="15"/>
    <col collapsed="false" customWidth="true" hidden="false" outlineLevel="0" max="5" min="5" style="0" width="2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3" t="s">
        <v>6</v>
      </c>
      <c r="C2" s="3" t="s">
        <v>7</v>
      </c>
      <c r="D2" s="4" t="b">
        <f aca="false">TRUE()</f>
        <v>1</v>
      </c>
      <c r="E2" s="3" t="s">
        <v>8</v>
      </c>
    </row>
    <row r="3" customFormat="false" ht="23.85" hidden="false" customHeight="false" outlineLevel="0" collapsed="false">
      <c r="A3" s="2" t="s">
        <v>9</v>
      </c>
      <c r="B3" s="3" t="s">
        <v>10</v>
      </c>
      <c r="C3" s="3" t="s">
        <v>7</v>
      </c>
      <c r="D3" s="4" t="b">
        <f aca="false">TRUE()</f>
        <v>1</v>
      </c>
      <c r="E3" s="3" t="s">
        <v>11</v>
      </c>
    </row>
    <row r="4" customFormat="false" ht="23.85" hidden="false" customHeight="false" outlineLevel="0" collapsed="false">
      <c r="A4" s="2" t="s">
        <v>12</v>
      </c>
      <c r="B4" s="3" t="s">
        <v>13</v>
      </c>
      <c r="C4" s="3" t="s">
        <v>7</v>
      </c>
      <c r="D4" s="4" t="b">
        <f aca="false">TRUE()</f>
        <v>1</v>
      </c>
      <c r="E4" s="3" t="s">
        <v>14</v>
      </c>
    </row>
    <row r="5" customFormat="false" ht="23.85" hidden="false" customHeight="false" outlineLevel="0" collapsed="false">
      <c r="A5" s="2" t="s">
        <v>15</v>
      </c>
      <c r="B5" s="3" t="s">
        <v>16</v>
      </c>
      <c r="C5" s="3" t="s">
        <v>7</v>
      </c>
      <c r="D5" s="4" t="b">
        <f aca="false">TRUE()</f>
        <v>1</v>
      </c>
      <c r="E5" s="3" t="s">
        <v>17</v>
      </c>
    </row>
    <row r="6" customFormat="false" ht="23.85" hidden="false" customHeight="false" outlineLevel="0" collapsed="false">
      <c r="A6" s="2" t="s">
        <v>18</v>
      </c>
      <c r="B6" s="3" t="s">
        <v>19</v>
      </c>
      <c r="C6" s="3" t="s">
        <v>7</v>
      </c>
      <c r="D6" s="4" t="b">
        <f aca="false">TRUE()</f>
        <v>1</v>
      </c>
      <c r="E6" s="3" t="s">
        <v>20</v>
      </c>
    </row>
    <row r="7" customFormat="false" ht="23.85" hidden="false" customHeight="false" outlineLevel="0" collapsed="false">
      <c r="A7" s="2" t="s">
        <v>21</v>
      </c>
      <c r="B7" s="3" t="s">
        <v>22</v>
      </c>
      <c r="C7" s="3" t="s">
        <v>7</v>
      </c>
      <c r="D7" s="4" t="b">
        <f aca="false">TRUE()</f>
        <v>1</v>
      </c>
      <c r="E7" s="3" t="s">
        <v>23</v>
      </c>
    </row>
    <row r="8" customFormat="false" ht="23.85" hidden="false" customHeight="false" outlineLevel="0" collapsed="false">
      <c r="A8" s="2" t="s">
        <v>24</v>
      </c>
      <c r="B8" s="3" t="s">
        <v>25</v>
      </c>
      <c r="C8" s="3" t="s">
        <v>26</v>
      </c>
      <c r="D8" s="4" t="b">
        <f aca="false">TRUE()</f>
        <v>1</v>
      </c>
      <c r="E8" s="3" t="s">
        <v>8</v>
      </c>
    </row>
    <row r="9" customFormat="false" ht="23.85" hidden="false" customHeight="false" outlineLevel="0" collapsed="false">
      <c r="A9" s="2" t="s">
        <v>27</v>
      </c>
      <c r="B9" s="3" t="s">
        <v>28</v>
      </c>
      <c r="C9" s="3" t="s">
        <v>26</v>
      </c>
      <c r="D9" s="4" t="b">
        <f aca="false">TRUE()</f>
        <v>1</v>
      </c>
      <c r="E9" s="3" t="s">
        <v>11</v>
      </c>
    </row>
    <row r="10" customFormat="false" ht="15" hidden="false" customHeight="false" outlineLevel="0" collapsed="false">
      <c r="A10" s="2" t="s">
        <v>29</v>
      </c>
      <c r="B10" s="3" t="s">
        <v>30</v>
      </c>
      <c r="C10" s="3" t="s">
        <v>26</v>
      </c>
      <c r="D10" s="4" t="b">
        <f aca="false">FALSE()</f>
        <v>0</v>
      </c>
      <c r="E10" s="3" t="s">
        <v>14</v>
      </c>
    </row>
    <row r="11" customFormat="false" ht="23.85" hidden="false" customHeight="false" outlineLevel="0" collapsed="false">
      <c r="A11" s="2" t="s">
        <v>31</v>
      </c>
      <c r="B11" s="3" t="s">
        <v>32</v>
      </c>
      <c r="C11" s="3" t="s">
        <v>26</v>
      </c>
      <c r="D11" s="4" t="b">
        <f aca="false">TRUE()</f>
        <v>1</v>
      </c>
      <c r="E11" s="3" t="s">
        <v>17</v>
      </c>
    </row>
    <row r="12" customFormat="false" ht="23.85" hidden="false" customHeight="false" outlineLevel="0" collapsed="false">
      <c r="A12" s="2" t="s">
        <v>33</v>
      </c>
      <c r="B12" s="3" t="s">
        <v>34</v>
      </c>
      <c r="C12" s="3" t="s">
        <v>26</v>
      </c>
      <c r="D12" s="4" t="b">
        <f aca="false">TRUE()</f>
        <v>1</v>
      </c>
      <c r="E12" s="3" t="s">
        <v>20</v>
      </c>
    </row>
    <row r="13" customFormat="false" ht="23.85" hidden="false" customHeight="false" outlineLevel="0" collapsed="false">
      <c r="A13" s="2" t="s">
        <v>35</v>
      </c>
      <c r="B13" s="3" t="s">
        <v>36</v>
      </c>
      <c r="C13" s="3" t="s">
        <v>26</v>
      </c>
      <c r="D13" s="4" t="b">
        <f aca="false">TRUE()</f>
        <v>1</v>
      </c>
      <c r="E13" s="3" t="s">
        <v>23</v>
      </c>
    </row>
    <row r="14" customFormat="false" ht="23.85" hidden="false" customHeight="false" outlineLevel="0" collapsed="false">
      <c r="A14" s="2" t="s">
        <v>37</v>
      </c>
      <c r="B14" s="3" t="s">
        <v>38</v>
      </c>
      <c r="C14" s="3" t="s">
        <v>39</v>
      </c>
      <c r="D14" s="4" t="b">
        <f aca="false">TRUE()</f>
        <v>1</v>
      </c>
      <c r="E14" s="3" t="s">
        <v>8</v>
      </c>
    </row>
    <row r="15" customFormat="false" ht="23.85" hidden="false" customHeight="false" outlineLevel="0" collapsed="false">
      <c r="A15" s="2" t="s">
        <v>40</v>
      </c>
      <c r="B15" s="3" t="s">
        <v>41</v>
      </c>
      <c r="C15" s="3" t="s">
        <v>39</v>
      </c>
      <c r="D15" s="4" t="b">
        <f aca="false">TRUE()</f>
        <v>1</v>
      </c>
      <c r="E15" s="3" t="s">
        <v>11</v>
      </c>
    </row>
    <row r="16" customFormat="false" ht="15" hidden="false" customHeight="false" outlineLevel="0" collapsed="false">
      <c r="A16" s="2" t="s">
        <v>42</v>
      </c>
      <c r="B16" s="3" t="s">
        <v>43</v>
      </c>
      <c r="C16" s="3" t="s">
        <v>39</v>
      </c>
      <c r="D16" s="4" t="b">
        <f aca="false">FALSE()</f>
        <v>0</v>
      </c>
      <c r="E16" s="3" t="s">
        <v>14</v>
      </c>
    </row>
    <row r="17" customFormat="false" ht="15" hidden="false" customHeight="false" outlineLevel="0" collapsed="false">
      <c r="A17" s="2" t="s">
        <v>44</v>
      </c>
      <c r="B17" s="3" t="s">
        <v>45</v>
      </c>
      <c r="C17" s="3" t="s">
        <v>39</v>
      </c>
      <c r="D17" s="4" t="b">
        <f aca="false">FALSE()</f>
        <v>0</v>
      </c>
      <c r="E17" s="3" t="s">
        <v>17</v>
      </c>
    </row>
    <row r="18" customFormat="false" ht="23.85" hidden="false" customHeight="false" outlineLevel="0" collapsed="false">
      <c r="A18" s="2" t="s">
        <v>46</v>
      </c>
      <c r="B18" s="3" t="s">
        <v>47</v>
      </c>
      <c r="C18" s="3" t="s">
        <v>39</v>
      </c>
      <c r="D18" s="4" t="b">
        <f aca="false">TRUE()</f>
        <v>1</v>
      </c>
      <c r="E18" s="3" t="s">
        <v>20</v>
      </c>
    </row>
    <row r="19" customFormat="false" ht="23.85" hidden="false" customHeight="false" outlineLevel="0" collapsed="false">
      <c r="A19" s="2" t="s">
        <v>48</v>
      </c>
      <c r="B19" s="3" t="s">
        <v>49</v>
      </c>
      <c r="C19" s="3" t="s">
        <v>39</v>
      </c>
      <c r="D19" s="4" t="b">
        <f aca="false">TRUE()</f>
        <v>1</v>
      </c>
      <c r="E19" s="3" t="s">
        <v>23</v>
      </c>
    </row>
    <row r="20" customFormat="false" ht="23.85" hidden="false" customHeight="false" outlineLevel="0" collapsed="false">
      <c r="A20" s="2" t="s">
        <v>50</v>
      </c>
      <c r="B20" s="3" t="s">
        <v>51</v>
      </c>
      <c r="C20" s="3" t="s">
        <v>52</v>
      </c>
      <c r="D20" s="4" t="b">
        <f aca="false">TRUE()</f>
        <v>1</v>
      </c>
      <c r="E20" s="3" t="s">
        <v>8</v>
      </c>
    </row>
    <row r="21" customFormat="false" ht="23.85" hidden="false" customHeight="false" outlineLevel="0" collapsed="false">
      <c r="A21" s="2" t="s">
        <v>53</v>
      </c>
      <c r="B21" s="3" t="s">
        <v>54</v>
      </c>
      <c r="C21" s="3" t="s">
        <v>52</v>
      </c>
      <c r="D21" s="4" t="b">
        <f aca="false">TRUE()</f>
        <v>1</v>
      </c>
      <c r="E21" s="3" t="s">
        <v>11</v>
      </c>
    </row>
    <row r="22" customFormat="false" ht="15" hidden="false" customHeight="false" outlineLevel="0" collapsed="false">
      <c r="A22" s="2" t="s">
        <v>55</v>
      </c>
      <c r="B22" s="3" t="s">
        <v>56</v>
      </c>
      <c r="C22" s="3" t="s">
        <v>52</v>
      </c>
      <c r="D22" s="4" t="b">
        <f aca="false">FALSE()</f>
        <v>0</v>
      </c>
      <c r="E22" s="3" t="s">
        <v>14</v>
      </c>
    </row>
    <row r="23" customFormat="false" ht="15" hidden="false" customHeight="false" outlineLevel="0" collapsed="false">
      <c r="A23" s="2" t="s">
        <v>57</v>
      </c>
      <c r="B23" s="3" t="s">
        <v>58</v>
      </c>
      <c r="C23" s="3" t="s">
        <v>52</v>
      </c>
      <c r="D23" s="4" t="b">
        <f aca="false">FALSE()</f>
        <v>0</v>
      </c>
      <c r="E23" s="3" t="s">
        <v>17</v>
      </c>
    </row>
    <row r="24" customFormat="false" ht="23.85" hidden="false" customHeight="false" outlineLevel="0" collapsed="false">
      <c r="A24" s="2" t="s">
        <v>59</v>
      </c>
      <c r="B24" s="3" t="s">
        <v>60</v>
      </c>
      <c r="C24" s="3" t="s">
        <v>52</v>
      </c>
      <c r="D24" s="4" t="b">
        <f aca="false">TRUE()</f>
        <v>1</v>
      </c>
      <c r="E24" s="3" t="s">
        <v>20</v>
      </c>
    </row>
    <row r="25" customFormat="false" ht="15" hidden="false" customHeight="false" outlineLevel="0" collapsed="false">
      <c r="A25" s="2" t="s">
        <v>61</v>
      </c>
      <c r="B25" s="3" t="s">
        <v>62</v>
      </c>
      <c r="C25" s="3" t="s">
        <v>52</v>
      </c>
      <c r="D25" s="4" t="b">
        <f aca="false">FALSE()</f>
        <v>0</v>
      </c>
      <c r="E25" s="3" t="s">
        <v>23</v>
      </c>
    </row>
    <row r="26" customFormat="false" ht="23.85" hidden="false" customHeight="false" outlineLevel="0" collapsed="false">
      <c r="A26" s="2" t="s">
        <v>63</v>
      </c>
      <c r="B26" s="3" t="s">
        <v>64</v>
      </c>
      <c r="C26" s="3" t="s">
        <v>65</v>
      </c>
      <c r="D26" s="4" t="b">
        <f aca="false">TRUE()</f>
        <v>1</v>
      </c>
      <c r="E26" s="3" t="s">
        <v>8</v>
      </c>
    </row>
    <row r="27" customFormat="false" ht="23.85" hidden="false" customHeight="false" outlineLevel="0" collapsed="false">
      <c r="A27" s="2" t="s">
        <v>66</v>
      </c>
      <c r="B27" s="3" t="s">
        <v>67</v>
      </c>
      <c r="C27" s="3" t="s">
        <v>65</v>
      </c>
      <c r="D27" s="4" t="b">
        <f aca="false">TRUE()</f>
        <v>1</v>
      </c>
      <c r="E27" s="3" t="s">
        <v>11</v>
      </c>
    </row>
    <row r="28" customFormat="false" ht="15" hidden="false" customHeight="false" outlineLevel="0" collapsed="false">
      <c r="A28" s="2" t="s">
        <v>68</v>
      </c>
      <c r="B28" s="3" t="s">
        <v>69</v>
      </c>
      <c r="C28" s="3" t="s">
        <v>65</v>
      </c>
      <c r="D28" s="4" t="b">
        <f aca="false">FALSE()</f>
        <v>0</v>
      </c>
      <c r="E28" s="3" t="s">
        <v>14</v>
      </c>
    </row>
    <row r="29" customFormat="false" ht="15" hidden="false" customHeight="false" outlineLevel="0" collapsed="false">
      <c r="A29" s="2" t="s">
        <v>70</v>
      </c>
      <c r="B29" s="3" t="s">
        <v>71</v>
      </c>
      <c r="C29" s="3" t="s">
        <v>65</v>
      </c>
      <c r="D29" s="4" t="b">
        <f aca="false">FALSE()</f>
        <v>0</v>
      </c>
      <c r="E29" s="3" t="s">
        <v>17</v>
      </c>
    </row>
    <row r="30" customFormat="false" ht="15" hidden="false" customHeight="false" outlineLevel="0" collapsed="false">
      <c r="A30" s="2" t="s">
        <v>72</v>
      </c>
      <c r="B30" s="3" t="s">
        <v>73</v>
      </c>
      <c r="C30" s="3" t="s">
        <v>65</v>
      </c>
      <c r="D30" s="4" t="b">
        <f aca="false">TRUE()</f>
        <v>1</v>
      </c>
      <c r="E30" s="3" t="s">
        <v>20</v>
      </c>
    </row>
    <row r="31" customFormat="false" ht="15" hidden="false" customHeight="false" outlineLevel="0" collapsed="false">
      <c r="A31" s="2" t="s">
        <v>74</v>
      </c>
      <c r="B31" s="3" t="s">
        <v>75</v>
      </c>
      <c r="C31" s="3" t="s">
        <v>65</v>
      </c>
      <c r="D31" s="4" t="b">
        <f aca="false">FALSE()</f>
        <v>0</v>
      </c>
      <c r="E31" s="3" t="s">
        <v>23</v>
      </c>
    </row>
    <row r="32" customFormat="false" ht="23.85" hidden="false" customHeight="false" outlineLevel="0" collapsed="false">
      <c r="A32" s="2" t="s">
        <v>76</v>
      </c>
      <c r="B32" s="3" t="s">
        <v>77</v>
      </c>
      <c r="C32" s="3" t="s">
        <v>78</v>
      </c>
      <c r="D32" s="4" t="b">
        <f aca="false">TRUE()</f>
        <v>1</v>
      </c>
      <c r="E32" s="3" t="s">
        <v>8</v>
      </c>
    </row>
    <row r="33" customFormat="false" ht="23.85" hidden="false" customHeight="false" outlineLevel="0" collapsed="false">
      <c r="A33" s="2" t="s">
        <v>79</v>
      </c>
      <c r="B33" s="3" t="s">
        <v>80</v>
      </c>
      <c r="C33" s="3" t="s">
        <v>78</v>
      </c>
      <c r="D33" s="4" t="b">
        <f aca="false">TRUE()</f>
        <v>1</v>
      </c>
      <c r="E33" s="3" t="s">
        <v>11</v>
      </c>
    </row>
    <row r="34" customFormat="false" ht="15" hidden="false" customHeight="false" outlineLevel="0" collapsed="false">
      <c r="A34" s="2" t="s">
        <v>81</v>
      </c>
      <c r="B34" s="3" t="s">
        <v>82</v>
      </c>
      <c r="C34" s="3" t="s">
        <v>78</v>
      </c>
      <c r="D34" s="4" t="b">
        <f aca="false">FALSE()</f>
        <v>0</v>
      </c>
      <c r="E34" s="3" t="s">
        <v>14</v>
      </c>
    </row>
    <row r="35" customFormat="false" ht="15" hidden="false" customHeight="false" outlineLevel="0" collapsed="false">
      <c r="A35" s="2" t="s">
        <v>83</v>
      </c>
      <c r="B35" s="3" t="s">
        <v>84</v>
      </c>
      <c r="C35" s="3" t="s">
        <v>78</v>
      </c>
      <c r="D35" s="4" t="b">
        <f aca="false">FALSE()</f>
        <v>0</v>
      </c>
      <c r="E35" s="3" t="s">
        <v>17</v>
      </c>
    </row>
    <row r="36" customFormat="false" ht="15" hidden="false" customHeight="false" outlineLevel="0" collapsed="false">
      <c r="A36" s="2" t="s">
        <v>85</v>
      </c>
      <c r="B36" s="3" t="s">
        <v>86</v>
      </c>
      <c r="C36" s="3" t="s">
        <v>78</v>
      </c>
      <c r="D36" s="4" t="b">
        <f aca="false">TRUE()</f>
        <v>1</v>
      </c>
      <c r="E36" s="3" t="s">
        <v>20</v>
      </c>
    </row>
    <row r="37" customFormat="false" ht="15" hidden="false" customHeight="false" outlineLevel="0" collapsed="false">
      <c r="A37" s="2" t="s">
        <v>87</v>
      </c>
      <c r="B37" s="3" t="s">
        <v>88</v>
      </c>
      <c r="C37" s="3" t="s">
        <v>78</v>
      </c>
      <c r="D37" s="4" t="b">
        <f aca="false">FALSE()</f>
        <v>0</v>
      </c>
      <c r="E37" s="3" t="s">
        <v>23</v>
      </c>
    </row>
    <row r="38" customFormat="false" ht="23.85" hidden="false" customHeight="false" outlineLevel="0" collapsed="false">
      <c r="A38" s="2" t="s">
        <v>89</v>
      </c>
      <c r="B38" s="3" t="s">
        <v>90</v>
      </c>
      <c r="C38" s="3" t="s">
        <v>91</v>
      </c>
      <c r="D38" s="4" t="b">
        <f aca="false">TRUE()</f>
        <v>1</v>
      </c>
      <c r="E38" s="3" t="s">
        <v>8</v>
      </c>
    </row>
    <row r="39" customFormat="false" ht="23.85" hidden="false" customHeight="false" outlineLevel="0" collapsed="false">
      <c r="A39" s="2" t="s">
        <v>92</v>
      </c>
      <c r="B39" s="3" t="s">
        <v>93</v>
      </c>
      <c r="C39" s="3" t="s">
        <v>91</v>
      </c>
      <c r="D39" s="4" t="b">
        <f aca="false">TRUE()</f>
        <v>1</v>
      </c>
      <c r="E39" s="3" t="s">
        <v>11</v>
      </c>
    </row>
    <row r="40" customFormat="false" ht="23.85" hidden="false" customHeight="false" outlineLevel="0" collapsed="false">
      <c r="A40" s="2" t="s">
        <v>94</v>
      </c>
      <c r="B40" s="3" t="s">
        <v>95</v>
      </c>
      <c r="C40" s="3" t="s">
        <v>91</v>
      </c>
      <c r="D40" s="4" t="b">
        <f aca="false">TRUE()</f>
        <v>1</v>
      </c>
      <c r="E40" s="3" t="s">
        <v>14</v>
      </c>
    </row>
    <row r="41" customFormat="false" ht="23.85" hidden="false" customHeight="false" outlineLevel="0" collapsed="false">
      <c r="A41" s="2" t="s">
        <v>96</v>
      </c>
      <c r="B41" s="3" t="s">
        <v>97</v>
      </c>
      <c r="C41" s="3" t="s">
        <v>91</v>
      </c>
      <c r="D41" s="4" t="b">
        <f aca="false">TRUE()</f>
        <v>1</v>
      </c>
      <c r="E41" s="3" t="s">
        <v>17</v>
      </c>
    </row>
    <row r="42" customFormat="false" ht="23.85" hidden="false" customHeight="false" outlineLevel="0" collapsed="false">
      <c r="A42" s="2" t="s">
        <v>98</v>
      </c>
      <c r="B42" s="3" t="s">
        <v>99</v>
      </c>
      <c r="C42" s="3" t="s">
        <v>91</v>
      </c>
      <c r="D42" s="4" t="b">
        <f aca="false">TRUE()</f>
        <v>1</v>
      </c>
      <c r="E42" s="3" t="s">
        <v>20</v>
      </c>
    </row>
    <row r="43" customFormat="false" ht="23.85" hidden="false" customHeight="false" outlineLevel="0" collapsed="false">
      <c r="A43" s="2" t="s">
        <v>100</v>
      </c>
      <c r="B43" s="3" t="s">
        <v>101</v>
      </c>
      <c r="C43" s="3" t="s">
        <v>91</v>
      </c>
      <c r="D43" s="4" t="b">
        <f aca="false">TRUE()</f>
        <v>1</v>
      </c>
      <c r="E43" s="3" t="s">
        <v>23</v>
      </c>
    </row>
    <row r="44" customFormat="false" ht="15" hidden="false" customHeight="false" outlineLevel="0" collapsed="false">
      <c r="A44" s="2" t="s">
        <v>102</v>
      </c>
      <c r="B44" s="3" t="s">
        <v>103</v>
      </c>
      <c r="C44" s="3" t="s">
        <v>104</v>
      </c>
      <c r="D44" s="4" t="b">
        <f aca="false">FALSE()</f>
        <v>0</v>
      </c>
      <c r="E44" s="3" t="s">
        <v>8</v>
      </c>
    </row>
    <row r="45" customFormat="false" ht="23.85" hidden="false" customHeight="false" outlineLevel="0" collapsed="false">
      <c r="A45" s="2" t="s">
        <v>105</v>
      </c>
      <c r="B45" s="3" t="s">
        <v>106</v>
      </c>
      <c r="C45" s="3" t="s">
        <v>104</v>
      </c>
      <c r="D45" s="4" t="b">
        <f aca="false">TRUE()</f>
        <v>1</v>
      </c>
      <c r="E45" s="3" t="s">
        <v>11</v>
      </c>
    </row>
    <row r="46" customFormat="false" ht="15" hidden="false" customHeight="false" outlineLevel="0" collapsed="false">
      <c r="A46" s="2" t="s">
        <v>107</v>
      </c>
      <c r="B46" s="3" t="s">
        <v>108</v>
      </c>
      <c r="C46" s="3" t="s">
        <v>104</v>
      </c>
      <c r="D46" s="4" t="b">
        <f aca="false">FALSE()</f>
        <v>0</v>
      </c>
      <c r="E46" s="3" t="s">
        <v>14</v>
      </c>
    </row>
    <row r="47" customFormat="false" ht="15" hidden="false" customHeight="false" outlineLevel="0" collapsed="false">
      <c r="A47" s="2" t="s">
        <v>109</v>
      </c>
      <c r="B47" s="3" t="s">
        <v>110</v>
      </c>
      <c r="C47" s="3" t="s">
        <v>104</v>
      </c>
      <c r="D47" s="4" t="b">
        <f aca="false">FALSE()</f>
        <v>0</v>
      </c>
      <c r="E47" s="3" t="s">
        <v>17</v>
      </c>
    </row>
    <row r="48" customFormat="false" ht="23.85" hidden="false" customHeight="false" outlineLevel="0" collapsed="false">
      <c r="A48" s="2" t="s">
        <v>111</v>
      </c>
      <c r="B48" s="3" t="s">
        <v>112</v>
      </c>
      <c r="C48" s="3" t="s">
        <v>104</v>
      </c>
      <c r="D48" s="4" t="b">
        <f aca="false">TRUE()</f>
        <v>1</v>
      </c>
      <c r="E48" s="3" t="s">
        <v>20</v>
      </c>
    </row>
    <row r="49" customFormat="false" ht="15" hidden="false" customHeight="false" outlineLevel="0" collapsed="false">
      <c r="A49" s="2" t="s">
        <v>113</v>
      </c>
      <c r="B49" s="3" t="s">
        <v>114</v>
      </c>
      <c r="C49" s="3" t="s">
        <v>104</v>
      </c>
      <c r="D49" s="4" t="b">
        <f aca="false">FALSE()</f>
        <v>0</v>
      </c>
      <c r="E49" s="3" t="s">
        <v>23</v>
      </c>
    </row>
    <row r="50" customFormat="false" ht="23.85" hidden="false" customHeight="false" outlineLevel="0" collapsed="false">
      <c r="A50" s="2" t="s">
        <v>115</v>
      </c>
      <c r="B50" s="3" t="s">
        <v>116</v>
      </c>
      <c r="C50" s="3" t="s">
        <v>117</v>
      </c>
      <c r="D50" s="4" t="b">
        <f aca="false">FALSE()</f>
        <v>0</v>
      </c>
      <c r="E50" s="3" t="s">
        <v>8</v>
      </c>
    </row>
    <row r="51" customFormat="false" ht="23.85" hidden="false" customHeight="false" outlineLevel="0" collapsed="false">
      <c r="A51" s="2" t="s">
        <v>118</v>
      </c>
      <c r="B51" s="3" t="s">
        <v>119</v>
      </c>
      <c r="C51" s="3" t="s">
        <v>117</v>
      </c>
      <c r="D51" s="4" t="b">
        <f aca="false">TRUE()</f>
        <v>1</v>
      </c>
      <c r="E51" s="3" t="s">
        <v>11</v>
      </c>
    </row>
    <row r="52" customFormat="false" ht="15" hidden="false" customHeight="false" outlineLevel="0" collapsed="false">
      <c r="A52" s="2" t="s">
        <v>120</v>
      </c>
      <c r="B52" s="3" t="s">
        <v>121</v>
      </c>
      <c r="C52" s="3" t="s">
        <v>117</v>
      </c>
      <c r="D52" s="4" t="b">
        <f aca="false">FALSE()</f>
        <v>0</v>
      </c>
      <c r="E52" s="3" t="s">
        <v>14</v>
      </c>
    </row>
    <row r="53" customFormat="false" ht="15" hidden="false" customHeight="false" outlineLevel="0" collapsed="false">
      <c r="A53" s="2" t="s">
        <v>122</v>
      </c>
      <c r="B53" s="3" t="s">
        <v>123</v>
      </c>
      <c r="C53" s="3" t="s">
        <v>117</v>
      </c>
      <c r="D53" s="4" t="b">
        <f aca="false">FALSE()</f>
        <v>0</v>
      </c>
      <c r="E53" s="3" t="s">
        <v>17</v>
      </c>
    </row>
    <row r="54" customFormat="false" ht="23.85" hidden="false" customHeight="false" outlineLevel="0" collapsed="false">
      <c r="A54" s="2" t="s">
        <v>124</v>
      </c>
      <c r="B54" s="3" t="s">
        <v>125</v>
      </c>
      <c r="C54" s="3" t="s">
        <v>117</v>
      </c>
      <c r="D54" s="4" t="b">
        <f aca="false">TRUE()</f>
        <v>1</v>
      </c>
      <c r="E54" s="3" t="s">
        <v>20</v>
      </c>
    </row>
    <row r="55" customFormat="false" ht="15" hidden="false" customHeight="false" outlineLevel="0" collapsed="false">
      <c r="A55" s="2" t="s">
        <v>126</v>
      </c>
      <c r="B55" s="3" t="s">
        <v>127</v>
      </c>
      <c r="C55" s="3" t="s">
        <v>117</v>
      </c>
      <c r="D55" s="4" t="b">
        <f aca="false">FALSE()</f>
        <v>0</v>
      </c>
      <c r="E55" s="3" t="s">
        <v>23</v>
      </c>
    </row>
    <row r="56" customFormat="false" ht="15" hidden="false" customHeight="false" outlineLevel="0" collapsed="false">
      <c r="A56" s="2" t="s">
        <v>128</v>
      </c>
      <c r="B56" s="3" t="s">
        <v>129</v>
      </c>
      <c r="C56" s="3" t="s">
        <v>130</v>
      </c>
      <c r="D56" s="4" t="b">
        <f aca="false">FALSE()</f>
        <v>0</v>
      </c>
      <c r="E56" s="3" t="s">
        <v>8</v>
      </c>
    </row>
    <row r="57" customFormat="false" ht="23.85" hidden="false" customHeight="false" outlineLevel="0" collapsed="false">
      <c r="A57" s="2" t="s">
        <v>131</v>
      </c>
      <c r="B57" s="3" t="s">
        <v>132</v>
      </c>
      <c r="C57" s="3" t="s">
        <v>130</v>
      </c>
      <c r="D57" s="4" t="b">
        <f aca="false">TRUE()</f>
        <v>1</v>
      </c>
      <c r="E57" s="3" t="s">
        <v>11</v>
      </c>
    </row>
    <row r="58" customFormat="false" ht="15" hidden="false" customHeight="false" outlineLevel="0" collapsed="false">
      <c r="A58" s="2" t="s">
        <v>133</v>
      </c>
      <c r="B58" s="3" t="s">
        <v>134</v>
      </c>
      <c r="C58" s="3" t="s">
        <v>130</v>
      </c>
      <c r="D58" s="4" t="b">
        <f aca="false">FALSE()</f>
        <v>0</v>
      </c>
      <c r="E58" s="3" t="s">
        <v>14</v>
      </c>
    </row>
    <row r="59" customFormat="false" ht="15" hidden="false" customHeight="false" outlineLevel="0" collapsed="false">
      <c r="A59" s="2" t="s">
        <v>135</v>
      </c>
      <c r="B59" s="3" t="s">
        <v>136</v>
      </c>
      <c r="C59" s="3" t="s">
        <v>130</v>
      </c>
      <c r="D59" s="4" t="b">
        <f aca="false">FALSE()</f>
        <v>0</v>
      </c>
      <c r="E59" s="3" t="s">
        <v>17</v>
      </c>
    </row>
    <row r="60" customFormat="false" ht="15" hidden="false" customHeight="false" outlineLevel="0" collapsed="false">
      <c r="A60" s="2" t="s">
        <v>137</v>
      </c>
      <c r="B60" s="3" t="s">
        <v>138</v>
      </c>
      <c r="C60" s="3" t="s">
        <v>130</v>
      </c>
      <c r="D60" s="4" t="b">
        <f aca="false">TRUE()</f>
        <v>1</v>
      </c>
      <c r="E60" s="3" t="s">
        <v>20</v>
      </c>
    </row>
    <row r="61" customFormat="false" ht="15" hidden="false" customHeight="false" outlineLevel="0" collapsed="false">
      <c r="A61" s="2" t="s">
        <v>139</v>
      </c>
      <c r="B61" s="3" t="s">
        <v>140</v>
      </c>
      <c r="C61" s="3" t="s">
        <v>130</v>
      </c>
      <c r="D61" s="4" t="b">
        <f aca="false">FALSE()</f>
        <v>0</v>
      </c>
      <c r="E61" s="3" t="s">
        <v>23</v>
      </c>
    </row>
    <row r="62" customFormat="false" ht="15" hidden="false" customHeight="false" outlineLevel="0" collapsed="false">
      <c r="A62" s="2" t="s">
        <v>141</v>
      </c>
      <c r="B62" s="3" t="s">
        <v>142</v>
      </c>
      <c r="C62" s="3" t="s">
        <v>143</v>
      </c>
      <c r="D62" s="4" t="b">
        <f aca="false">TRUE()</f>
        <v>1</v>
      </c>
      <c r="E62" s="3" t="s">
        <v>11</v>
      </c>
    </row>
    <row r="63" customFormat="false" ht="23.85" hidden="false" customHeight="false" outlineLevel="0" collapsed="false">
      <c r="A63" s="2" t="s">
        <v>144</v>
      </c>
      <c r="B63" s="3" t="s">
        <v>145</v>
      </c>
      <c r="C63" s="3" t="s">
        <v>143</v>
      </c>
      <c r="D63" s="4" t="b">
        <f aca="false">TRUE()</f>
        <v>1</v>
      </c>
      <c r="E63" s="3" t="s">
        <v>17</v>
      </c>
    </row>
    <row r="64" customFormat="false" ht="23.85" hidden="false" customHeight="false" outlineLevel="0" collapsed="false">
      <c r="A64" s="2" t="s">
        <v>146</v>
      </c>
      <c r="B64" s="3" t="s">
        <v>147</v>
      </c>
      <c r="C64" s="3" t="s">
        <v>143</v>
      </c>
      <c r="D64" s="4" t="b">
        <f aca="false">TRUE()</f>
        <v>1</v>
      </c>
      <c r="E64" s="3" t="s">
        <v>20</v>
      </c>
    </row>
    <row r="65" customFormat="false" ht="23.85" hidden="false" customHeight="false" outlineLevel="0" collapsed="false">
      <c r="A65" s="2" t="s">
        <v>148</v>
      </c>
      <c r="B65" s="3" t="s">
        <v>149</v>
      </c>
      <c r="C65" s="3" t="s">
        <v>150</v>
      </c>
      <c r="D65" s="4" t="b">
        <f aca="false">TRUE()</f>
        <v>1</v>
      </c>
      <c r="E65" s="3" t="s">
        <v>11</v>
      </c>
    </row>
    <row r="66" customFormat="false" ht="15" hidden="false" customHeight="false" outlineLevel="0" collapsed="false">
      <c r="A66" s="2" t="s">
        <v>151</v>
      </c>
      <c r="B66" s="3" t="s">
        <v>152</v>
      </c>
      <c r="C66" s="3" t="s">
        <v>150</v>
      </c>
      <c r="D66" s="4" t="b">
        <f aca="false">FALSE()</f>
        <v>0</v>
      </c>
      <c r="E66" s="3" t="s">
        <v>17</v>
      </c>
    </row>
    <row r="67" customFormat="false" ht="15" hidden="false" customHeight="false" outlineLevel="0" collapsed="false">
      <c r="A67" s="2" t="s">
        <v>153</v>
      </c>
      <c r="B67" s="3" t="s">
        <v>154</v>
      </c>
      <c r="C67" s="3" t="s">
        <v>150</v>
      </c>
      <c r="D67" s="4" t="b">
        <f aca="false">TRUE()</f>
        <v>1</v>
      </c>
      <c r="E67" s="3" t="s">
        <v>20</v>
      </c>
    </row>
    <row r="68" customFormat="false" ht="15" hidden="false" customHeight="false" outlineLevel="0" collapsed="false">
      <c r="A68" s="2" t="s">
        <v>155</v>
      </c>
      <c r="B68" s="3" t="s">
        <v>156</v>
      </c>
      <c r="C68" s="3" t="s">
        <v>157</v>
      </c>
      <c r="D68" s="4" t="b">
        <f aca="false">TRUE()</f>
        <v>1</v>
      </c>
      <c r="E68" s="3" t="s">
        <v>11</v>
      </c>
    </row>
    <row r="69" customFormat="false" ht="15" hidden="false" customHeight="false" outlineLevel="0" collapsed="false">
      <c r="A69" s="2" t="s">
        <v>158</v>
      </c>
      <c r="B69" s="3" t="s">
        <v>159</v>
      </c>
      <c r="C69" s="3" t="s">
        <v>157</v>
      </c>
      <c r="D69" s="4" t="b">
        <f aca="false">FALSE()</f>
        <v>0</v>
      </c>
      <c r="E69" s="3" t="s">
        <v>17</v>
      </c>
    </row>
    <row r="70" customFormat="false" ht="15" hidden="false" customHeight="false" outlineLevel="0" collapsed="false">
      <c r="A70" s="2" t="s">
        <v>160</v>
      </c>
      <c r="B70" s="3" t="s">
        <v>161</v>
      </c>
      <c r="C70" s="3" t="s">
        <v>157</v>
      </c>
      <c r="D70" s="4" t="b">
        <f aca="false">TRUE()</f>
        <v>1</v>
      </c>
      <c r="E70" s="3" t="s">
        <v>20</v>
      </c>
    </row>
    <row r="71" customFormat="false" ht="23.85" hidden="false" customHeight="false" outlineLevel="0" collapsed="false">
      <c r="A71" s="2" t="s">
        <v>162</v>
      </c>
      <c r="B71" s="3" t="s">
        <v>163</v>
      </c>
      <c r="C71" s="3" t="s">
        <v>164</v>
      </c>
      <c r="D71" s="4" t="b">
        <f aca="false">TRUE()</f>
        <v>1</v>
      </c>
      <c r="E71" s="3" t="s">
        <v>11</v>
      </c>
    </row>
    <row r="72" customFormat="false" ht="15" hidden="false" customHeight="false" outlineLevel="0" collapsed="false">
      <c r="A72" s="2" t="s">
        <v>165</v>
      </c>
      <c r="B72" s="3" t="s">
        <v>166</v>
      </c>
      <c r="C72" s="3" t="s">
        <v>164</v>
      </c>
      <c r="D72" s="4" t="b">
        <f aca="false">FALSE()</f>
        <v>0</v>
      </c>
      <c r="E72" s="3" t="s">
        <v>17</v>
      </c>
    </row>
    <row r="73" customFormat="false" ht="15" hidden="false" customHeight="false" outlineLevel="0" collapsed="false">
      <c r="A73" s="2" t="s">
        <v>167</v>
      </c>
      <c r="B73" s="3" t="s">
        <v>168</v>
      </c>
      <c r="C73" s="3" t="s">
        <v>164</v>
      </c>
      <c r="D73" s="4" t="b">
        <f aca="false">TRUE()</f>
        <v>1</v>
      </c>
      <c r="E73" s="3" t="s">
        <v>20</v>
      </c>
    </row>
    <row r="74" customFormat="false" ht="23.85" hidden="false" customHeight="false" outlineLevel="0" collapsed="false">
      <c r="A74" s="2" t="s">
        <v>169</v>
      </c>
      <c r="B74" s="3" t="s">
        <v>170</v>
      </c>
      <c r="C74" s="3" t="s">
        <v>171</v>
      </c>
      <c r="D74" s="4" t="b">
        <f aca="false">TRUE()</f>
        <v>1</v>
      </c>
      <c r="E74" s="3" t="s">
        <v>11</v>
      </c>
    </row>
    <row r="75" customFormat="false" ht="15" hidden="false" customHeight="false" outlineLevel="0" collapsed="false">
      <c r="A75" s="2" t="s">
        <v>172</v>
      </c>
      <c r="B75" s="3" t="s">
        <v>173</v>
      </c>
      <c r="C75" s="3" t="s">
        <v>171</v>
      </c>
      <c r="D75" s="4" t="b">
        <f aca="false">FALSE()</f>
        <v>0</v>
      </c>
      <c r="E75" s="3" t="s">
        <v>17</v>
      </c>
    </row>
    <row r="76" customFormat="false" ht="23.85" hidden="false" customHeight="false" outlineLevel="0" collapsed="false">
      <c r="A76" s="2" t="s">
        <v>174</v>
      </c>
      <c r="B76" s="3" t="s">
        <v>175</v>
      </c>
      <c r="C76" s="3" t="s">
        <v>171</v>
      </c>
      <c r="D76" s="4" t="b">
        <f aca="false">TRUE()</f>
        <v>1</v>
      </c>
      <c r="E76" s="3" t="s">
        <v>20</v>
      </c>
    </row>
    <row r="77" customFormat="false" ht="23.85" hidden="false" customHeight="false" outlineLevel="0" collapsed="false">
      <c r="A77" s="2" t="s">
        <v>176</v>
      </c>
      <c r="B77" s="3" t="s">
        <v>177</v>
      </c>
      <c r="C77" s="3" t="s">
        <v>178</v>
      </c>
      <c r="D77" s="4" t="b">
        <f aca="false">TRUE()</f>
        <v>1</v>
      </c>
      <c r="E77" s="3" t="s">
        <v>11</v>
      </c>
    </row>
    <row r="78" customFormat="false" ht="15" hidden="false" customHeight="false" outlineLevel="0" collapsed="false">
      <c r="A78" s="2" t="s">
        <v>179</v>
      </c>
      <c r="B78" s="3" t="s">
        <v>180</v>
      </c>
      <c r="C78" s="3" t="s">
        <v>178</v>
      </c>
      <c r="D78" s="4" t="b">
        <f aca="false">FALSE()</f>
        <v>0</v>
      </c>
      <c r="E78" s="3" t="s">
        <v>17</v>
      </c>
    </row>
    <row r="79" customFormat="false" ht="15" hidden="false" customHeight="false" outlineLevel="0" collapsed="false">
      <c r="A79" s="2" t="s">
        <v>181</v>
      </c>
      <c r="B79" s="3" t="s">
        <v>182</v>
      </c>
      <c r="C79" s="3" t="s">
        <v>178</v>
      </c>
      <c r="D79" s="4" t="b">
        <f aca="false">TRUE()</f>
        <v>1</v>
      </c>
      <c r="E79" s="3" t="s">
        <v>20</v>
      </c>
    </row>
    <row r="80" customFormat="false" ht="23.85" hidden="false" customHeight="false" outlineLevel="0" collapsed="false">
      <c r="A80" s="2" t="s">
        <v>183</v>
      </c>
      <c r="B80" s="3" t="s">
        <v>184</v>
      </c>
      <c r="C80" s="3" t="s">
        <v>185</v>
      </c>
      <c r="D80" s="4" t="b">
        <f aca="false">TRUE()</f>
        <v>1</v>
      </c>
      <c r="E80" s="3" t="s">
        <v>11</v>
      </c>
    </row>
    <row r="81" customFormat="false" ht="15" hidden="false" customHeight="false" outlineLevel="0" collapsed="false">
      <c r="A81" s="2" t="s">
        <v>186</v>
      </c>
      <c r="B81" s="3" t="s">
        <v>187</v>
      </c>
      <c r="C81" s="3" t="s">
        <v>185</v>
      </c>
      <c r="D81" s="4" t="b">
        <f aca="false">FALSE()</f>
        <v>0</v>
      </c>
      <c r="E81" s="3" t="s">
        <v>17</v>
      </c>
    </row>
    <row r="82" customFormat="false" ht="15" hidden="false" customHeight="false" outlineLevel="0" collapsed="false">
      <c r="A82" s="2" t="s">
        <v>188</v>
      </c>
      <c r="B82" s="3" t="s">
        <v>189</v>
      </c>
      <c r="C82" s="3" t="s">
        <v>185</v>
      </c>
      <c r="D82" s="4" t="b">
        <f aca="false">TRUE()</f>
        <v>1</v>
      </c>
      <c r="E82" s="3" t="s">
        <v>20</v>
      </c>
    </row>
    <row r="83" customFormat="false" ht="23.85" hidden="false" customHeight="false" outlineLevel="0" collapsed="false">
      <c r="A83" s="2" t="s">
        <v>190</v>
      </c>
      <c r="B83" s="3" t="s">
        <v>191</v>
      </c>
      <c r="C83" s="3" t="s">
        <v>192</v>
      </c>
      <c r="D83" s="4" t="b">
        <f aca="false">TRUE()</f>
        <v>1</v>
      </c>
      <c r="E83" s="3" t="s">
        <v>11</v>
      </c>
    </row>
    <row r="84" customFormat="false" ht="15" hidden="false" customHeight="false" outlineLevel="0" collapsed="false">
      <c r="A84" s="2" t="s">
        <v>193</v>
      </c>
      <c r="B84" s="3" t="s">
        <v>194</v>
      </c>
      <c r="C84" s="3" t="s">
        <v>192</v>
      </c>
      <c r="D84" s="4" t="b">
        <f aca="false">FALSE()</f>
        <v>0</v>
      </c>
      <c r="E84" s="3" t="s">
        <v>17</v>
      </c>
    </row>
    <row r="85" customFormat="false" ht="15" hidden="false" customHeight="false" outlineLevel="0" collapsed="false">
      <c r="A85" s="2" t="s">
        <v>195</v>
      </c>
      <c r="B85" s="3" t="s">
        <v>196</v>
      </c>
      <c r="C85" s="3" t="s">
        <v>192</v>
      </c>
      <c r="D85" s="4" t="b">
        <f aca="false">TRUE()</f>
        <v>1</v>
      </c>
      <c r="E85" s="3" t="s">
        <v>20</v>
      </c>
    </row>
    <row r="86" customFormat="false" ht="15" hidden="false" customHeight="false" outlineLevel="0" collapsed="false">
      <c r="A86" s="2" t="s">
        <v>197</v>
      </c>
      <c r="B86" s="3" t="s">
        <v>198</v>
      </c>
      <c r="C86" s="3" t="s">
        <v>199</v>
      </c>
      <c r="D86" s="4" t="b">
        <f aca="false">TRUE()</f>
        <v>1</v>
      </c>
      <c r="E86" s="3" t="s">
        <v>11</v>
      </c>
    </row>
    <row r="87" customFormat="false" ht="15" hidden="false" customHeight="false" outlineLevel="0" collapsed="false">
      <c r="A87" s="2" t="s">
        <v>200</v>
      </c>
      <c r="B87" s="3" t="s">
        <v>201</v>
      </c>
      <c r="C87" s="3" t="s">
        <v>199</v>
      </c>
      <c r="D87" s="4" t="b">
        <f aca="false">FALSE()</f>
        <v>0</v>
      </c>
      <c r="E87" s="3" t="s">
        <v>17</v>
      </c>
    </row>
    <row r="88" customFormat="false" ht="15" hidden="false" customHeight="false" outlineLevel="0" collapsed="false">
      <c r="A88" s="2" t="s">
        <v>202</v>
      </c>
      <c r="B88" s="3" t="s">
        <v>203</v>
      </c>
      <c r="C88" s="3" t="s">
        <v>199</v>
      </c>
      <c r="D88" s="4" t="b">
        <f aca="false">TRUE()</f>
        <v>1</v>
      </c>
      <c r="E88" s="3" t="s">
        <v>20</v>
      </c>
    </row>
  </sheetData>
  <autoFilter ref="A1:E88"/>
  <conditionalFormatting sqref="D2:D88">
    <cfRule type="expression" priority="2" aboveAverage="0" equalAverage="0" bottom="0" percent="0" rank="0" text="" dxfId="5">
      <formula>$D2=1</formula>
    </cfRule>
    <cfRule type="expression" priority="3" aboveAverage="0" equalAverage="0" bottom="0" percent="0" rank="0" text="" dxfId="6">
      <formula>$D2=0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6"/>
  </cols>
  <sheetData>
    <row r="1" customFormat="false" ht="16.15" hidden="false" customHeight="false" outlineLevel="0" collapsed="false">
      <c r="A1" s="5" t="s">
        <v>204</v>
      </c>
    </row>
    <row r="3" customFormat="false" ht="15" hidden="false" customHeight="false" outlineLevel="0" collapsed="false">
      <c r="A3" s="6" t="s">
        <v>205</v>
      </c>
    </row>
    <row r="4" customFormat="false" ht="30" hidden="false" customHeight="true" outlineLevel="0" collapsed="false">
      <c r="A4" s="1" t="s">
        <v>4</v>
      </c>
      <c r="B4" s="1" t="s">
        <v>206</v>
      </c>
      <c r="C4" s="1" t="s">
        <v>207</v>
      </c>
      <c r="D4" s="1" t="s">
        <v>208</v>
      </c>
    </row>
    <row r="5" customFormat="false" ht="15" hidden="false" customHeight="false" outlineLevel="0" collapsed="false">
      <c r="A5" s="7" t="s">
        <v>8</v>
      </c>
      <c r="B5" s="8" t="n">
        <f aca="false">COUNTIFS('Threat Scenarios'!$E$2:$E$88,$A5)</f>
        <v>10</v>
      </c>
      <c r="C5" s="8" t="n">
        <f aca="false">COUNTIFS('Threat Scenarios'!$E$2:$E$88,$A5,'Threat Scenarios'!$D$2:$D$88,TRUE())</f>
        <v>7</v>
      </c>
      <c r="D5" s="8" t="n">
        <f aca="false">B5-C5</f>
        <v>3</v>
      </c>
    </row>
    <row r="6" customFormat="false" ht="15" hidden="false" customHeight="false" outlineLevel="0" collapsed="false">
      <c r="A6" s="7" t="s">
        <v>11</v>
      </c>
      <c r="B6" s="8" t="n">
        <f aca="false">COUNTIFS('Threat Scenarios'!$E$2:$E$88,$A6)</f>
        <v>19</v>
      </c>
      <c r="C6" s="8" t="n">
        <f aca="false">COUNTIFS('Threat Scenarios'!$E$2:$E$88,$A6,'Threat Scenarios'!$D$2:$D$88,TRUE())</f>
        <v>19</v>
      </c>
      <c r="D6" s="8" t="n">
        <f aca="false">B6-C6</f>
        <v>0</v>
      </c>
    </row>
    <row r="7" customFormat="false" ht="15" hidden="false" customHeight="false" outlineLevel="0" collapsed="false">
      <c r="A7" s="7" t="s">
        <v>14</v>
      </c>
      <c r="B7" s="8" t="n">
        <f aca="false">COUNTIFS('Threat Scenarios'!$E$2:$E$88,$A7)</f>
        <v>10</v>
      </c>
      <c r="C7" s="8" t="n">
        <f aca="false">COUNTIFS('Threat Scenarios'!$E$2:$E$88,$A7,'Threat Scenarios'!$D$2:$D$88,TRUE())</f>
        <v>2</v>
      </c>
      <c r="D7" s="8" t="n">
        <f aca="false">B7-C7</f>
        <v>8</v>
      </c>
    </row>
    <row r="8" customFormat="false" ht="15" hidden="false" customHeight="false" outlineLevel="0" collapsed="false">
      <c r="A8" s="7" t="s">
        <v>17</v>
      </c>
      <c r="B8" s="8" t="n">
        <f aca="false">COUNTIFS('Threat Scenarios'!$E$2:$E$88,$A8)</f>
        <v>19</v>
      </c>
      <c r="C8" s="8" t="n">
        <f aca="false">COUNTIFS('Threat Scenarios'!$E$2:$E$88,$A8,'Threat Scenarios'!$D$2:$D$88,TRUE())</f>
        <v>4</v>
      </c>
      <c r="D8" s="8" t="n">
        <f aca="false">B8-C8</f>
        <v>15</v>
      </c>
    </row>
    <row r="9" customFormat="false" ht="15" hidden="false" customHeight="false" outlineLevel="0" collapsed="false">
      <c r="A9" s="7" t="s">
        <v>20</v>
      </c>
      <c r="B9" s="8" t="n">
        <f aca="false">COUNTIFS('Threat Scenarios'!$E$2:$E$88,$A9)</f>
        <v>19</v>
      </c>
      <c r="C9" s="8" t="n">
        <f aca="false">COUNTIFS('Threat Scenarios'!$E$2:$E$88,$A9,'Threat Scenarios'!$D$2:$D$88,TRUE())</f>
        <v>19</v>
      </c>
      <c r="D9" s="8" t="n">
        <f aca="false">B9-C9</f>
        <v>0</v>
      </c>
    </row>
    <row r="10" customFormat="false" ht="15" hidden="false" customHeight="false" outlineLevel="0" collapsed="false">
      <c r="A10" s="7" t="s">
        <v>23</v>
      </c>
      <c r="B10" s="8" t="n">
        <f aca="false">COUNTIFS('Threat Scenarios'!$E$2:$E$88,$A10)</f>
        <v>10</v>
      </c>
      <c r="C10" s="8" t="n">
        <f aca="false">COUNTIFS('Threat Scenarios'!$E$2:$E$88,$A10,'Threat Scenarios'!$D$2:$D$88,TRUE())</f>
        <v>4</v>
      </c>
      <c r="D10" s="8" t="n">
        <f aca="false">B10-C10</f>
        <v>6</v>
      </c>
    </row>
    <row r="11" customFormat="false" ht="15" hidden="false" customHeight="false" outlineLevel="0" collapsed="false">
      <c r="A11" s="9" t="s">
        <v>206</v>
      </c>
      <c r="B11" s="10" t="n">
        <f aca="false">SUM(B5:B10)</f>
        <v>87</v>
      </c>
      <c r="C11" s="10" t="n">
        <f aca="false">SUM(C5:C10)</f>
        <v>55</v>
      </c>
      <c r="D11" s="10" t="n">
        <f aca="false">SUM(D5:D10)</f>
        <v>32</v>
      </c>
    </row>
    <row r="14" customFormat="false" ht="15" hidden="false" customHeight="false" outlineLevel="0" collapsed="false">
      <c r="A14" s="6" t="s">
        <v>209</v>
      </c>
    </row>
    <row r="15" customFormat="false" ht="30" hidden="false" customHeight="true" outlineLevel="0" collapsed="false">
      <c r="A15" s="1" t="s">
        <v>210</v>
      </c>
      <c r="B15" s="1" t="s">
        <v>8</v>
      </c>
      <c r="C15" s="1" t="s">
        <v>11</v>
      </c>
      <c r="D15" s="1" t="s">
        <v>14</v>
      </c>
      <c r="E15" s="1" t="s">
        <v>17</v>
      </c>
      <c r="F15" s="1" t="s">
        <v>20</v>
      </c>
      <c r="G15" s="1" t="s">
        <v>23</v>
      </c>
      <c r="H15" s="1" t="s">
        <v>211</v>
      </c>
    </row>
    <row r="16" customFormat="false" ht="15" hidden="false" customHeight="false" outlineLevel="0" collapsed="false">
      <c r="A16" s="7" t="s">
        <v>7</v>
      </c>
      <c r="B16" s="11" t="str">
        <f aca="false">IF(COUNTIFS('Threat Scenarios'!$C$2:$C$88,$A16,'Threat Scenarios'!$E$2:$E$88,B$15)=0,"n/a",IF(COUNTIFS('Threat Scenarios'!$C$2:$C$88,$A16,'Threat Scenarios'!$E$2:$E$88,B$15,'Threat Scenarios'!$D$2:$D$88,TRUE())&gt;0,"TRUE","FALSE"))</f>
        <v>TRUE</v>
      </c>
      <c r="C16" s="11" t="str">
        <f aca="false">IF(COUNTIFS('Threat Scenarios'!$C$2:$C$88,$A16,'Threat Scenarios'!$E$2:$E$88,C$15)=0,"n/a",IF(COUNTIFS('Threat Scenarios'!$C$2:$C$88,$A16,'Threat Scenarios'!$E$2:$E$88,C$15,'Threat Scenarios'!$D$2:$D$88,TRUE())&gt;0,"TRUE","FALSE"))</f>
        <v>TRUE</v>
      </c>
      <c r="D16" s="11" t="str">
        <f aca="false">IF(COUNTIFS('Threat Scenarios'!$C$2:$C$88,$A16,'Threat Scenarios'!$E$2:$E$88,D$15)=0,"n/a",IF(COUNTIFS('Threat Scenarios'!$C$2:$C$88,$A16,'Threat Scenarios'!$E$2:$E$88,D$15,'Threat Scenarios'!$D$2:$D$88,TRUE())&gt;0,"TRUE","FALSE"))</f>
        <v>TRUE</v>
      </c>
      <c r="E16" s="11" t="str">
        <f aca="false">IF(COUNTIFS('Threat Scenarios'!$C$2:$C$88,$A16,'Threat Scenarios'!$E$2:$E$88,E$15)=0,"n/a",IF(COUNTIFS('Threat Scenarios'!$C$2:$C$88,$A16,'Threat Scenarios'!$E$2:$E$88,E$15,'Threat Scenarios'!$D$2:$D$88,TRUE())&gt;0,"TRUE","FALSE"))</f>
        <v>TRUE</v>
      </c>
      <c r="F16" s="11" t="str">
        <f aca="false">IF(COUNTIFS('Threat Scenarios'!$C$2:$C$88,$A16,'Threat Scenarios'!$E$2:$E$88,F$15)=0,"n/a",IF(COUNTIFS('Threat Scenarios'!$C$2:$C$88,$A16,'Threat Scenarios'!$E$2:$E$88,F$15,'Threat Scenarios'!$D$2:$D$88,TRUE())&gt;0,"TRUE","FALSE"))</f>
        <v>TRUE</v>
      </c>
      <c r="G16" s="11" t="str">
        <f aca="false">IF(COUNTIFS('Threat Scenarios'!$C$2:$C$88,$A16,'Threat Scenarios'!$E$2:$E$88,G$15)=0,"n/a",IF(COUNTIFS('Threat Scenarios'!$C$2:$C$88,$A16,'Threat Scenarios'!$E$2:$E$88,G$15,'Threat Scenarios'!$D$2:$D$88,TRUE())&gt;0,"TRUE","FALSE"))</f>
        <v>TRUE</v>
      </c>
      <c r="H16" s="8" t="n">
        <f aca="false">COUNTIFS('Threat Scenarios'!$C$2:$C$88,$A16,'Threat Scenarios'!$D$2:$D$88,TRUE())</f>
        <v>6</v>
      </c>
    </row>
    <row r="17" customFormat="false" ht="15" hidden="false" customHeight="false" outlineLevel="0" collapsed="false">
      <c r="A17" s="7" t="s">
        <v>26</v>
      </c>
      <c r="B17" s="11" t="str">
        <f aca="false">IF(COUNTIFS('Threat Scenarios'!$C$2:$C$88,$A17,'Threat Scenarios'!$E$2:$E$88,B$15)=0,"n/a",IF(COUNTIFS('Threat Scenarios'!$C$2:$C$88,$A17,'Threat Scenarios'!$E$2:$E$88,B$15,'Threat Scenarios'!$D$2:$D$88,TRUE())&gt;0,"TRUE","FALSE"))</f>
        <v>TRUE</v>
      </c>
      <c r="C17" s="11" t="str">
        <f aca="false">IF(COUNTIFS('Threat Scenarios'!$C$2:$C$88,$A17,'Threat Scenarios'!$E$2:$E$88,C$15)=0,"n/a",IF(COUNTIFS('Threat Scenarios'!$C$2:$C$88,$A17,'Threat Scenarios'!$E$2:$E$88,C$15,'Threat Scenarios'!$D$2:$D$88,TRUE())&gt;0,"TRUE","FALSE"))</f>
        <v>TRUE</v>
      </c>
      <c r="D17" s="11" t="str">
        <f aca="false">IF(COUNTIFS('Threat Scenarios'!$C$2:$C$88,$A17,'Threat Scenarios'!$E$2:$E$88,D$15)=0,"n/a",IF(COUNTIFS('Threat Scenarios'!$C$2:$C$88,$A17,'Threat Scenarios'!$E$2:$E$88,D$15,'Threat Scenarios'!$D$2:$D$88,TRUE())&gt;0,"TRUE","FALSE"))</f>
        <v>FALSE</v>
      </c>
      <c r="E17" s="11" t="str">
        <f aca="false">IF(COUNTIFS('Threat Scenarios'!$C$2:$C$88,$A17,'Threat Scenarios'!$E$2:$E$88,E$15)=0,"n/a",IF(COUNTIFS('Threat Scenarios'!$C$2:$C$88,$A17,'Threat Scenarios'!$E$2:$E$88,E$15,'Threat Scenarios'!$D$2:$D$88,TRUE())&gt;0,"TRUE","FALSE"))</f>
        <v>TRUE</v>
      </c>
      <c r="F17" s="11" t="str">
        <f aca="false">IF(COUNTIFS('Threat Scenarios'!$C$2:$C$88,$A17,'Threat Scenarios'!$E$2:$E$88,F$15)=0,"n/a",IF(COUNTIFS('Threat Scenarios'!$C$2:$C$88,$A17,'Threat Scenarios'!$E$2:$E$88,F$15,'Threat Scenarios'!$D$2:$D$88,TRUE())&gt;0,"TRUE","FALSE"))</f>
        <v>TRUE</v>
      </c>
      <c r="G17" s="11" t="str">
        <f aca="false">IF(COUNTIFS('Threat Scenarios'!$C$2:$C$88,$A17,'Threat Scenarios'!$E$2:$E$88,G$15)=0,"n/a",IF(COUNTIFS('Threat Scenarios'!$C$2:$C$88,$A17,'Threat Scenarios'!$E$2:$E$88,G$15,'Threat Scenarios'!$D$2:$D$88,TRUE())&gt;0,"TRUE","FALSE"))</f>
        <v>TRUE</v>
      </c>
      <c r="H17" s="8" t="n">
        <f aca="false">COUNTIFS('Threat Scenarios'!$C$2:$C$88,$A17,'Threat Scenarios'!$D$2:$D$88,TRUE())</f>
        <v>5</v>
      </c>
    </row>
    <row r="18" customFormat="false" ht="15" hidden="false" customHeight="false" outlineLevel="0" collapsed="false">
      <c r="A18" s="7" t="s">
        <v>39</v>
      </c>
      <c r="B18" s="11" t="str">
        <f aca="false">IF(COUNTIFS('Threat Scenarios'!$C$2:$C$88,$A18,'Threat Scenarios'!$E$2:$E$88,B$15)=0,"n/a",IF(COUNTIFS('Threat Scenarios'!$C$2:$C$88,$A18,'Threat Scenarios'!$E$2:$E$88,B$15,'Threat Scenarios'!$D$2:$D$88,TRUE())&gt;0,"TRUE","FALSE"))</f>
        <v>TRUE</v>
      </c>
      <c r="C18" s="11" t="str">
        <f aca="false">IF(COUNTIFS('Threat Scenarios'!$C$2:$C$88,$A18,'Threat Scenarios'!$E$2:$E$88,C$15)=0,"n/a",IF(COUNTIFS('Threat Scenarios'!$C$2:$C$88,$A18,'Threat Scenarios'!$E$2:$E$88,C$15,'Threat Scenarios'!$D$2:$D$88,TRUE())&gt;0,"TRUE","FALSE"))</f>
        <v>TRUE</v>
      </c>
      <c r="D18" s="11" t="str">
        <f aca="false">IF(COUNTIFS('Threat Scenarios'!$C$2:$C$88,$A18,'Threat Scenarios'!$E$2:$E$88,D$15)=0,"n/a",IF(COUNTIFS('Threat Scenarios'!$C$2:$C$88,$A18,'Threat Scenarios'!$E$2:$E$88,D$15,'Threat Scenarios'!$D$2:$D$88,TRUE())&gt;0,"TRUE","FALSE"))</f>
        <v>FALSE</v>
      </c>
      <c r="E18" s="11" t="str">
        <f aca="false">IF(COUNTIFS('Threat Scenarios'!$C$2:$C$88,$A18,'Threat Scenarios'!$E$2:$E$88,E$15)=0,"n/a",IF(COUNTIFS('Threat Scenarios'!$C$2:$C$88,$A18,'Threat Scenarios'!$E$2:$E$88,E$15,'Threat Scenarios'!$D$2:$D$88,TRUE())&gt;0,"TRUE","FALSE"))</f>
        <v>FALSE</v>
      </c>
      <c r="F18" s="11" t="str">
        <f aca="false">IF(COUNTIFS('Threat Scenarios'!$C$2:$C$88,$A18,'Threat Scenarios'!$E$2:$E$88,F$15)=0,"n/a",IF(COUNTIFS('Threat Scenarios'!$C$2:$C$88,$A18,'Threat Scenarios'!$E$2:$E$88,F$15,'Threat Scenarios'!$D$2:$D$88,TRUE())&gt;0,"TRUE","FALSE"))</f>
        <v>TRUE</v>
      </c>
      <c r="G18" s="11" t="str">
        <f aca="false">IF(COUNTIFS('Threat Scenarios'!$C$2:$C$88,$A18,'Threat Scenarios'!$E$2:$E$88,G$15)=0,"n/a",IF(COUNTIFS('Threat Scenarios'!$C$2:$C$88,$A18,'Threat Scenarios'!$E$2:$E$88,G$15,'Threat Scenarios'!$D$2:$D$88,TRUE())&gt;0,"TRUE","FALSE"))</f>
        <v>TRUE</v>
      </c>
      <c r="H18" s="8" t="n">
        <f aca="false">COUNTIFS('Threat Scenarios'!$C$2:$C$88,$A18,'Threat Scenarios'!$D$2:$D$88,TRUE())</f>
        <v>4</v>
      </c>
    </row>
    <row r="19" customFormat="false" ht="15" hidden="false" customHeight="false" outlineLevel="0" collapsed="false">
      <c r="A19" s="7" t="s">
        <v>52</v>
      </c>
      <c r="B19" s="11" t="str">
        <f aca="false">IF(COUNTIFS('Threat Scenarios'!$C$2:$C$88,$A19,'Threat Scenarios'!$E$2:$E$88,B$15)=0,"n/a",IF(COUNTIFS('Threat Scenarios'!$C$2:$C$88,$A19,'Threat Scenarios'!$E$2:$E$88,B$15,'Threat Scenarios'!$D$2:$D$88,TRUE())&gt;0,"TRUE","FALSE"))</f>
        <v>TRUE</v>
      </c>
      <c r="C19" s="11" t="str">
        <f aca="false">IF(COUNTIFS('Threat Scenarios'!$C$2:$C$88,$A19,'Threat Scenarios'!$E$2:$E$88,C$15)=0,"n/a",IF(COUNTIFS('Threat Scenarios'!$C$2:$C$88,$A19,'Threat Scenarios'!$E$2:$E$88,C$15,'Threat Scenarios'!$D$2:$D$88,TRUE())&gt;0,"TRUE","FALSE"))</f>
        <v>TRUE</v>
      </c>
      <c r="D19" s="11" t="str">
        <f aca="false">IF(COUNTIFS('Threat Scenarios'!$C$2:$C$88,$A19,'Threat Scenarios'!$E$2:$E$88,D$15)=0,"n/a",IF(COUNTIFS('Threat Scenarios'!$C$2:$C$88,$A19,'Threat Scenarios'!$E$2:$E$88,D$15,'Threat Scenarios'!$D$2:$D$88,TRUE())&gt;0,"TRUE","FALSE"))</f>
        <v>FALSE</v>
      </c>
      <c r="E19" s="11" t="str">
        <f aca="false">IF(COUNTIFS('Threat Scenarios'!$C$2:$C$88,$A19,'Threat Scenarios'!$E$2:$E$88,E$15)=0,"n/a",IF(COUNTIFS('Threat Scenarios'!$C$2:$C$88,$A19,'Threat Scenarios'!$E$2:$E$88,E$15,'Threat Scenarios'!$D$2:$D$88,TRUE())&gt;0,"TRUE","FALSE"))</f>
        <v>FALSE</v>
      </c>
      <c r="F19" s="11" t="str">
        <f aca="false">IF(COUNTIFS('Threat Scenarios'!$C$2:$C$88,$A19,'Threat Scenarios'!$E$2:$E$88,F$15)=0,"n/a",IF(COUNTIFS('Threat Scenarios'!$C$2:$C$88,$A19,'Threat Scenarios'!$E$2:$E$88,F$15,'Threat Scenarios'!$D$2:$D$88,TRUE())&gt;0,"TRUE","FALSE"))</f>
        <v>TRUE</v>
      </c>
      <c r="G19" s="11" t="str">
        <f aca="false">IF(COUNTIFS('Threat Scenarios'!$C$2:$C$88,$A19,'Threat Scenarios'!$E$2:$E$88,G$15)=0,"n/a",IF(COUNTIFS('Threat Scenarios'!$C$2:$C$88,$A19,'Threat Scenarios'!$E$2:$E$88,G$15,'Threat Scenarios'!$D$2:$D$88,TRUE())&gt;0,"TRUE","FALSE"))</f>
        <v>FALSE</v>
      </c>
      <c r="H19" s="8" t="n">
        <f aca="false">COUNTIFS('Threat Scenarios'!$C$2:$C$88,$A19,'Threat Scenarios'!$D$2:$D$88,TRUE())</f>
        <v>3</v>
      </c>
    </row>
    <row r="20" customFormat="false" ht="15" hidden="false" customHeight="false" outlineLevel="0" collapsed="false">
      <c r="A20" s="7" t="s">
        <v>65</v>
      </c>
      <c r="B20" s="11" t="str">
        <f aca="false">IF(COUNTIFS('Threat Scenarios'!$C$2:$C$88,$A20,'Threat Scenarios'!$E$2:$E$88,B$15)=0,"n/a",IF(COUNTIFS('Threat Scenarios'!$C$2:$C$88,$A20,'Threat Scenarios'!$E$2:$E$88,B$15,'Threat Scenarios'!$D$2:$D$88,TRUE())&gt;0,"TRUE","FALSE"))</f>
        <v>TRUE</v>
      </c>
      <c r="C20" s="11" t="str">
        <f aca="false">IF(COUNTIFS('Threat Scenarios'!$C$2:$C$88,$A20,'Threat Scenarios'!$E$2:$E$88,C$15)=0,"n/a",IF(COUNTIFS('Threat Scenarios'!$C$2:$C$88,$A20,'Threat Scenarios'!$E$2:$E$88,C$15,'Threat Scenarios'!$D$2:$D$88,TRUE())&gt;0,"TRUE","FALSE"))</f>
        <v>TRUE</v>
      </c>
      <c r="D20" s="11" t="str">
        <f aca="false">IF(COUNTIFS('Threat Scenarios'!$C$2:$C$88,$A20,'Threat Scenarios'!$E$2:$E$88,D$15)=0,"n/a",IF(COUNTIFS('Threat Scenarios'!$C$2:$C$88,$A20,'Threat Scenarios'!$E$2:$E$88,D$15,'Threat Scenarios'!$D$2:$D$88,TRUE())&gt;0,"TRUE","FALSE"))</f>
        <v>FALSE</v>
      </c>
      <c r="E20" s="11" t="str">
        <f aca="false">IF(COUNTIFS('Threat Scenarios'!$C$2:$C$88,$A20,'Threat Scenarios'!$E$2:$E$88,E$15)=0,"n/a",IF(COUNTIFS('Threat Scenarios'!$C$2:$C$88,$A20,'Threat Scenarios'!$E$2:$E$88,E$15,'Threat Scenarios'!$D$2:$D$88,TRUE())&gt;0,"TRUE","FALSE"))</f>
        <v>FALSE</v>
      </c>
      <c r="F20" s="11" t="str">
        <f aca="false">IF(COUNTIFS('Threat Scenarios'!$C$2:$C$88,$A20,'Threat Scenarios'!$E$2:$E$88,F$15)=0,"n/a",IF(COUNTIFS('Threat Scenarios'!$C$2:$C$88,$A20,'Threat Scenarios'!$E$2:$E$88,F$15,'Threat Scenarios'!$D$2:$D$88,TRUE())&gt;0,"TRUE","FALSE"))</f>
        <v>TRUE</v>
      </c>
      <c r="G20" s="11" t="str">
        <f aca="false">IF(COUNTIFS('Threat Scenarios'!$C$2:$C$88,$A20,'Threat Scenarios'!$E$2:$E$88,G$15)=0,"n/a",IF(COUNTIFS('Threat Scenarios'!$C$2:$C$88,$A20,'Threat Scenarios'!$E$2:$E$88,G$15,'Threat Scenarios'!$D$2:$D$88,TRUE())&gt;0,"TRUE","FALSE"))</f>
        <v>FALSE</v>
      </c>
      <c r="H20" s="8" t="n">
        <f aca="false">COUNTIFS('Threat Scenarios'!$C$2:$C$88,$A20,'Threat Scenarios'!$D$2:$D$88,TRUE())</f>
        <v>3</v>
      </c>
    </row>
    <row r="21" customFormat="false" ht="15" hidden="false" customHeight="false" outlineLevel="0" collapsed="false">
      <c r="A21" s="7" t="s">
        <v>78</v>
      </c>
      <c r="B21" s="11" t="str">
        <f aca="false">IF(COUNTIFS('Threat Scenarios'!$C$2:$C$88,$A21,'Threat Scenarios'!$E$2:$E$88,B$15)=0,"n/a",IF(COUNTIFS('Threat Scenarios'!$C$2:$C$88,$A21,'Threat Scenarios'!$E$2:$E$88,B$15,'Threat Scenarios'!$D$2:$D$88,TRUE())&gt;0,"TRUE","FALSE"))</f>
        <v>TRUE</v>
      </c>
      <c r="C21" s="11" t="str">
        <f aca="false">IF(COUNTIFS('Threat Scenarios'!$C$2:$C$88,$A21,'Threat Scenarios'!$E$2:$E$88,C$15)=0,"n/a",IF(COUNTIFS('Threat Scenarios'!$C$2:$C$88,$A21,'Threat Scenarios'!$E$2:$E$88,C$15,'Threat Scenarios'!$D$2:$D$88,TRUE())&gt;0,"TRUE","FALSE"))</f>
        <v>TRUE</v>
      </c>
      <c r="D21" s="11" t="str">
        <f aca="false">IF(COUNTIFS('Threat Scenarios'!$C$2:$C$88,$A21,'Threat Scenarios'!$E$2:$E$88,D$15)=0,"n/a",IF(COUNTIFS('Threat Scenarios'!$C$2:$C$88,$A21,'Threat Scenarios'!$E$2:$E$88,D$15,'Threat Scenarios'!$D$2:$D$88,TRUE())&gt;0,"TRUE","FALSE"))</f>
        <v>FALSE</v>
      </c>
      <c r="E21" s="11" t="str">
        <f aca="false">IF(COUNTIFS('Threat Scenarios'!$C$2:$C$88,$A21,'Threat Scenarios'!$E$2:$E$88,E$15)=0,"n/a",IF(COUNTIFS('Threat Scenarios'!$C$2:$C$88,$A21,'Threat Scenarios'!$E$2:$E$88,E$15,'Threat Scenarios'!$D$2:$D$88,TRUE())&gt;0,"TRUE","FALSE"))</f>
        <v>FALSE</v>
      </c>
      <c r="F21" s="11" t="str">
        <f aca="false">IF(COUNTIFS('Threat Scenarios'!$C$2:$C$88,$A21,'Threat Scenarios'!$E$2:$E$88,F$15)=0,"n/a",IF(COUNTIFS('Threat Scenarios'!$C$2:$C$88,$A21,'Threat Scenarios'!$E$2:$E$88,F$15,'Threat Scenarios'!$D$2:$D$88,TRUE())&gt;0,"TRUE","FALSE"))</f>
        <v>TRUE</v>
      </c>
      <c r="G21" s="11" t="str">
        <f aca="false">IF(COUNTIFS('Threat Scenarios'!$C$2:$C$88,$A21,'Threat Scenarios'!$E$2:$E$88,G$15)=0,"n/a",IF(COUNTIFS('Threat Scenarios'!$C$2:$C$88,$A21,'Threat Scenarios'!$E$2:$E$88,G$15,'Threat Scenarios'!$D$2:$D$88,TRUE())&gt;0,"TRUE","FALSE"))</f>
        <v>FALSE</v>
      </c>
      <c r="H21" s="8" t="n">
        <f aca="false">COUNTIFS('Threat Scenarios'!$C$2:$C$88,$A21,'Threat Scenarios'!$D$2:$D$88,TRUE())</f>
        <v>3</v>
      </c>
    </row>
    <row r="22" customFormat="false" ht="15" hidden="false" customHeight="false" outlineLevel="0" collapsed="false">
      <c r="A22" s="7" t="s">
        <v>91</v>
      </c>
      <c r="B22" s="11" t="str">
        <f aca="false">IF(COUNTIFS('Threat Scenarios'!$C$2:$C$88,$A22,'Threat Scenarios'!$E$2:$E$88,B$15)=0,"n/a",IF(COUNTIFS('Threat Scenarios'!$C$2:$C$88,$A22,'Threat Scenarios'!$E$2:$E$88,B$15,'Threat Scenarios'!$D$2:$D$88,TRUE())&gt;0,"TRUE","FALSE"))</f>
        <v>TRUE</v>
      </c>
      <c r="C22" s="11" t="str">
        <f aca="false">IF(COUNTIFS('Threat Scenarios'!$C$2:$C$88,$A22,'Threat Scenarios'!$E$2:$E$88,C$15)=0,"n/a",IF(COUNTIFS('Threat Scenarios'!$C$2:$C$88,$A22,'Threat Scenarios'!$E$2:$E$88,C$15,'Threat Scenarios'!$D$2:$D$88,TRUE())&gt;0,"TRUE","FALSE"))</f>
        <v>TRUE</v>
      </c>
      <c r="D22" s="11" t="str">
        <f aca="false">IF(COUNTIFS('Threat Scenarios'!$C$2:$C$88,$A22,'Threat Scenarios'!$E$2:$E$88,D$15)=0,"n/a",IF(COUNTIFS('Threat Scenarios'!$C$2:$C$88,$A22,'Threat Scenarios'!$E$2:$E$88,D$15,'Threat Scenarios'!$D$2:$D$88,TRUE())&gt;0,"TRUE","FALSE"))</f>
        <v>TRUE</v>
      </c>
      <c r="E22" s="11" t="str">
        <f aca="false">IF(COUNTIFS('Threat Scenarios'!$C$2:$C$88,$A22,'Threat Scenarios'!$E$2:$E$88,E$15)=0,"n/a",IF(COUNTIFS('Threat Scenarios'!$C$2:$C$88,$A22,'Threat Scenarios'!$E$2:$E$88,E$15,'Threat Scenarios'!$D$2:$D$88,TRUE())&gt;0,"TRUE","FALSE"))</f>
        <v>TRUE</v>
      </c>
      <c r="F22" s="11" t="str">
        <f aca="false">IF(COUNTIFS('Threat Scenarios'!$C$2:$C$88,$A22,'Threat Scenarios'!$E$2:$E$88,F$15)=0,"n/a",IF(COUNTIFS('Threat Scenarios'!$C$2:$C$88,$A22,'Threat Scenarios'!$E$2:$E$88,F$15,'Threat Scenarios'!$D$2:$D$88,TRUE())&gt;0,"TRUE","FALSE"))</f>
        <v>TRUE</v>
      </c>
      <c r="G22" s="11" t="str">
        <f aca="false">IF(COUNTIFS('Threat Scenarios'!$C$2:$C$88,$A22,'Threat Scenarios'!$E$2:$E$88,G$15)=0,"n/a",IF(COUNTIFS('Threat Scenarios'!$C$2:$C$88,$A22,'Threat Scenarios'!$E$2:$E$88,G$15,'Threat Scenarios'!$D$2:$D$88,TRUE())&gt;0,"TRUE","FALSE"))</f>
        <v>TRUE</v>
      </c>
      <c r="H22" s="8" t="n">
        <f aca="false">COUNTIFS('Threat Scenarios'!$C$2:$C$88,$A22,'Threat Scenarios'!$D$2:$D$88,TRUE())</f>
        <v>6</v>
      </c>
    </row>
    <row r="23" customFormat="false" ht="15" hidden="false" customHeight="false" outlineLevel="0" collapsed="false">
      <c r="A23" s="7" t="s">
        <v>104</v>
      </c>
      <c r="B23" s="11" t="str">
        <f aca="false">IF(COUNTIFS('Threat Scenarios'!$C$2:$C$88,$A23,'Threat Scenarios'!$E$2:$E$88,B$15)=0,"n/a",IF(COUNTIFS('Threat Scenarios'!$C$2:$C$88,$A23,'Threat Scenarios'!$E$2:$E$88,B$15,'Threat Scenarios'!$D$2:$D$88,TRUE())&gt;0,"TRUE","FALSE"))</f>
        <v>FALSE</v>
      </c>
      <c r="C23" s="11" t="str">
        <f aca="false">IF(COUNTIFS('Threat Scenarios'!$C$2:$C$88,$A23,'Threat Scenarios'!$E$2:$E$88,C$15)=0,"n/a",IF(COUNTIFS('Threat Scenarios'!$C$2:$C$88,$A23,'Threat Scenarios'!$E$2:$E$88,C$15,'Threat Scenarios'!$D$2:$D$88,TRUE())&gt;0,"TRUE","FALSE"))</f>
        <v>TRUE</v>
      </c>
      <c r="D23" s="11" t="str">
        <f aca="false">IF(COUNTIFS('Threat Scenarios'!$C$2:$C$88,$A23,'Threat Scenarios'!$E$2:$E$88,D$15)=0,"n/a",IF(COUNTIFS('Threat Scenarios'!$C$2:$C$88,$A23,'Threat Scenarios'!$E$2:$E$88,D$15,'Threat Scenarios'!$D$2:$D$88,TRUE())&gt;0,"TRUE","FALSE"))</f>
        <v>FALSE</v>
      </c>
      <c r="E23" s="11" t="str">
        <f aca="false">IF(COUNTIFS('Threat Scenarios'!$C$2:$C$88,$A23,'Threat Scenarios'!$E$2:$E$88,E$15)=0,"n/a",IF(COUNTIFS('Threat Scenarios'!$C$2:$C$88,$A23,'Threat Scenarios'!$E$2:$E$88,E$15,'Threat Scenarios'!$D$2:$D$88,TRUE())&gt;0,"TRUE","FALSE"))</f>
        <v>FALSE</v>
      </c>
      <c r="F23" s="11" t="str">
        <f aca="false">IF(COUNTIFS('Threat Scenarios'!$C$2:$C$88,$A23,'Threat Scenarios'!$E$2:$E$88,F$15)=0,"n/a",IF(COUNTIFS('Threat Scenarios'!$C$2:$C$88,$A23,'Threat Scenarios'!$E$2:$E$88,F$15,'Threat Scenarios'!$D$2:$D$88,TRUE())&gt;0,"TRUE","FALSE"))</f>
        <v>TRUE</v>
      </c>
      <c r="G23" s="11" t="str">
        <f aca="false">IF(COUNTIFS('Threat Scenarios'!$C$2:$C$88,$A23,'Threat Scenarios'!$E$2:$E$88,G$15)=0,"n/a",IF(COUNTIFS('Threat Scenarios'!$C$2:$C$88,$A23,'Threat Scenarios'!$E$2:$E$88,G$15,'Threat Scenarios'!$D$2:$D$88,TRUE())&gt;0,"TRUE","FALSE"))</f>
        <v>FALSE</v>
      </c>
      <c r="H23" s="8" t="n">
        <f aca="false">COUNTIFS('Threat Scenarios'!$C$2:$C$88,$A23,'Threat Scenarios'!$D$2:$D$88,TRUE())</f>
        <v>2</v>
      </c>
    </row>
    <row r="24" customFormat="false" ht="15" hidden="false" customHeight="false" outlineLevel="0" collapsed="false">
      <c r="A24" s="7" t="s">
        <v>117</v>
      </c>
      <c r="B24" s="11" t="str">
        <f aca="false">IF(COUNTIFS('Threat Scenarios'!$C$2:$C$88,$A24,'Threat Scenarios'!$E$2:$E$88,B$15)=0,"n/a",IF(COUNTIFS('Threat Scenarios'!$C$2:$C$88,$A24,'Threat Scenarios'!$E$2:$E$88,B$15,'Threat Scenarios'!$D$2:$D$88,TRUE())&gt;0,"TRUE","FALSE"))</f>
        <v>FALSE</v>
      </c>
      <c r="C24" s="11" t="str">
        <f aca="false">IF(COUNTIFS('Threat Scenarios'!$C$2:$C$88,$A24,'Threat Scenarios'!$E$2:$E$88,C$15)=0,"n/a",IF(COUNTIFS('Threat Scenarios'!$C$2:$C$88,$A24,'Threat Scenarios'!$E$2:$E$88,C$15,'Threat Scenarios'!$D$2:$D$88,TRUE())&gt;0,"TRUE","FALSE"))</f>
        <v>TRUE</v>
      </c>
      <c r="D24" s="11" t="str">
        <f aca="false">IF(COUNTIFS('Threat Scenarios'!$C$2:$C$88,$A24,'Threat Scenarios'!$E$2:$E$88,D$15)=0,"n/a",IF(COUNTIFS('Threat Scenarios'!$C$2:$C$88,$A24,'Threat Scenarios'!$E$2:$E$88,D$15,'Threat Scenarios'!$D$2:$D$88,TRUE())&gt;0,"TRUE","FALSE"))</f>
        <v>FALSE</v>
      </c>
      <c r="E24" s="11" t="str">
        <f aca="false">IF(COUNTIFS('Threat Scenarios'!$C$2:$C$88,$A24,'Threat Scenarios'!$E$2:$E$88,E$15)=0,"n/a",IF(COUNTIFS('Threat Scenarios'!$C$2:$C$88,$A24,'Threat Scenarios'!$E$2:$E$88,E$15,'Threat Scenarios'!$D$2:$D$88,TRUE())&gt;0,"TRUE","FALSE"))</f>
        <v>FALSE</v>
      </c>
      <c r="F24" s="11" t="str">
        <f aca="false">IF(COUNTIFS('Threat Scenarios'!$C$2:$C$88,$A24,'Threat Scenarios'!$E$2:$E$88,F$15)=0,"n/a",IF(COUNTIFS('Threat Scenarios'!$C$2:$C$88,$A24,'Threat Scenarios'!$E$2:$E$88,F$15,'Threat Scenarios'!$D$2:$D$88,TRUE())&gt;0,"TRUE","FALSE"))</f>
        <v>TRUE</v>
      </c>
      <c r="G24" s="11" t="str">
        <f aca="false">IF(COUNTIFS('Threat Scenarios'!$C$2:$C$88,$A24,'Threat Scenarios'!$E$2:$E$88,G$15)=0,"n/a",IF(COUNTIFS('Threat Scenarios'!$C$2:$C$88,$A24,'Threat Scenarios'!$E$2:$E$88,G$15,'Threat Scenarios'!$D$2:$D$88,TRUE())&gt;0,"TRUE","FALSE"))</f>
        <v>FALSE</v>
      </c>
      <c r="H24" s="8" t="n">
        <f aca="false">COUNTIFS('Threat Scenarios'!$C$2:$C$88,$A24,'Threat Scenarios'!$D$2:$D$88,TRUE())</f>
        <v>2</v>
      </c>
    </row>
    <row r="25" customFormat="false" ht="15" hidden="false" customHeight="false" outlineLevel="0" collapsed="false">
      <c r="A25" s="7" t="s">
        <v>130</v>
      </c>
      <c r="B25" s="11" t="str">
        <f aca="false">IF(COUNTIFS('Threat Scenarios'!$C$2:$C$88,$A25,'Threat Scenarios'!$E$2:$E$88,B$15)=0,"n/a",IF(COUNTIFS('Threat Scenarios'!$C$2:$C$88,$A25,'Threat Scenarios'!$E$2:$E$88,B$15,'Threat Scenarios'!$D$2:$D$88,TRUE())&gt;0,"TRUE","FALSE"))</f>
        <v>FALSE</v>
      </c>
      <c r="C25" s="11" t="str">
        <f aca="false">IF(COUNTIFS('Threat Scenarios'!$C$2:$C$88,$A25,'Threat Scenarios'!$E$2:$E$88,C$15)=0,"n/a",IF(COUNTIFS('Threat Scenarios'!$C$2:$C$88,$A25,'Threat Scenarios'!$E$2:$E$88,C$15,'Threat Scenarios'!$D$2:$D$88,TRUE())&gt;0,"TRUE","FALSE"))</f>
        <v>TRUE</v>
      </c>
      <c r="D25" s="11" t="str">
        <f aca="false">IF(COUNTIFS('Threat Scenarios'!$C$2:$C$88,$A25,'Threat Scenarios'!$E$2:$E$88,D$15)=0,"n/a",IF(COUNTIFS('Threat Scenarios'!$C$2:$C$88,$A25,'Threat Scenarios'!$E$2:$E$88,D$15,'Threat Scenarios'!$D$2:$D$88,TRUE())&gt;0,"TRUE","FALSE"))</f>
        <v>FALSE</v>
      </c>
      <c r="E25" s="11" t="str">
        <f aca="false">IF(COUNTIFS('Threat Scenarios'!$C$2:$C$88,$A25,'Threat Scenarios'!$E$2:$E$88,E$15)=0,"n/a",IF(COUNTIFS('Threat Scenarios'!$C$2:$C$88,$A25,'Threat Scenarios'!$E$2:$E$88,E$15,'Threat Scenarios'!$D$2:$D$88,TRUE())&gt;0,"TRUE","FALSE"))</f>
        <v>FALSE</v>
      </c>
      <c r="F25" s="11" t="str">
        <f aca="false">IF(COUNTIFS('Threat Scenarios'!$C$2:$C$88,$A25,'Threat Scenarios'!$E$2:$E$88,F$15)=0,"n/a",IF(COUNTIFS('Threat Scenarios'!$C$2:$C$88,$A25,'Threat Scenarios'!$E$2:$E$88,F$15,'Threat Scenarios'!$D$2:$D$88,TRUE())&gt;0,"TRUE","FALSE"))</f>
        <v>TRUE</v>
      </c>
      <c r="G25" s="11" t="str">
        <f aca="false">IF(COUNTIFS('Threat Scenarios'!$C$2:$C$88,$A25,'Threat Scenarios'!$E$2:$E$88,G$15)=0,"n/a",IF(COUNTIFS('Threat Scenarios'!$C$2:$C$88,$A25,'Threat Scenarios'!$E$2:$E$88,G$15,'Threat Scenarios'!$D$2:$D$88,TRUE())&gt;0,"TRUE","FALSE"))</f>
        <v>FALSE</v>
      </c>
      <c r="H25" s="8" t="n">
        <f aca="false">COUNTIFS('Threat Scenarios'!$C$2:$C$88,$A25,'Threat Scenarios'!$D$2:$D$88,TRUE())</f>
        <v>2</v>
      </c>
    </row>
    <row r="26" customFormat="false" ht="15" hidden="false" customHeight="false" outlineLevel="0" collapsed="false">
      <c r="A26" s="7" t="s">
        <v>143</v>
      </c>
      <c r="B26" s="11" t="str">
        <f aca="false">IF(COUNTIFS('Threat Scenarios'!$C$2:$C$88,$A26,'Threat Scenarios'!$E$2:$E$88,B$15)=0,"n/a",IF(COUNTIFS('Threat Scenarios'!$C$2:$C$88,$A26,'Threat Scenarios'!$E$2:$E$88,B$15,'Threat Scenarios'!$D$2:$D$88,TRUE())&gt;0,"TRUE","FALSE"))</f>
        <v>n/a</v>
      </c>
      <c r="C26" s="11" t="str">
        <f aca="false">IF(COUNTIFS('Threat Scenarios'!$C$2:$C$88,$A26,'Threat Scenarios'!$E$2:$E$88,C$15)=0,"n/a",IF(COUNTIFS('Threat Scenarios'!$C$2:$C$88,$A26,'Threat Scenarios'!$E$2:$E$88,C$15,'Threat Scenarios'!$D$2:$D$88,TRUE())&gt;0,"TRUE","FALSE"))</f>
        <v>TRUE</v>
      </c>
      <c r="D26" s="11" t="str">
        <f aca="false">IF(COUNTIFS('Threat Scenarios'!$C$2:$C$88,$A26,'Threat Scenarios'!$E$2:$E$88,D$15)=0,"n/a",IF(COUNTIFS('Threat Scenarios'!$C$2:$C$88,$A26,'Threat Scenarios'!$E$2:$E$88,D$15,'Threat Scenarios'!$D$2:$D$88,TRUE())&gt;0,"TRUE","FALSE"))</f>
        <v>n/a</v>
      </c>
      <c r="E26" s="11" t="str">
        <f aca="false">IF(COUNTIFS('Threat Scenarios'!$C$2:$C$88,$A26,'Threat Scenarios'!$E$2:$E$88,E$15)=0,"n/a",IF(COUNTIFS('Threat Scenarios'!$C$2:$C$88,$A26,'Threat Scenarios'!$E$2:$E$88,E$15,'Threat Scenarios'!$D$2:$D$88,TRUE())&gt;0,"TRUE","FALSE"))</f>
        <v>TRUE</v>
      </c>
      <c r="F26" s="11" t="str">
        <f aca="false">IF(COUNTIFS('Threat Scenarios'!$C$2:$C$88,$A26,'Threat Scenarios'!$E$2:$E$88,F$15)=0,"n/a",IF(COUNTIFS('Threat Scenarios'!$C$2:$C$88,$A26,'Threat Scenarios'!$E$2:$E$88,F$15,'Threat Scenarios'!$D$2:$D$88,TRUE())&gt;0,"TRUE","FALSE"))</f>
        <v>TRUE</v>
      </c>
      <c r="G26" s="11" t="str">
        <f aca="false">IF(COUNTIFS('Threat Scenarios'!$C$2:$C$88,$A26,'Threat Scenarios'!$E$2:$E$88,G$15)=0,"n/a",IF(COUNTIFS('Threat Scenarios'!$C$2:$C$88,$A26,'Threat Scenarios'!$E$2:$E$88,G$15,'Threat Scenarios'!$D$2:$D$88,TRUE())&gt;0,"TRUE","FALSE"))</f>
        <v>n/a</v>
      </c>
      <c r="H26" s="8" t="n">
        <f aca="false">COUNTIFS('Threat Scenarios'!$C$2:$C$88,$A26,'Threat Scenarios'!$D$2:$D$88,TRUE())</f>
        <v>3</v>
      </c>
    </row>
    <row r="27" customFormat="false" ht="15" hidden="false" customHeight="false" outlineLevel="0" collapsed="false">
      <c r="A27" s="7" t="s">
        <v>150</v>
      </c>
      <c r="B27" s="11" t="str">
        <f aca="false">IF(COUNTIFS('Threat Scenarios'!$C$2:$C$88,$A27,'Threat Scenarios'!$E$2:$E$88,B$15)=0,"n/a",IF(COUNTIFS('Threat Scenarios'!$C$2:$C$88,$A27,'Threat Scenarios'!$E$2:$E$88,B$15,'Threat Scenarios'!$D$2:$D$88,TRUE())&gt;0,"TRUE","FALSE"))</f>
        <v>n/a</v>
      </c>
      <c r="C27" s="11" t="str">
        <f aca="false">IF(COUNTIFS('Threat Scenarios'!$C$2:$C$88,$A27,'Threat Scenarios'!$E$2:$E$88,C$15)=0,"n/a",IF(COUNTIFS('Threat Scenarios'!$C$2:$C$88,$A27,'Threat Scenarios'!$E$2:$E$88,C$15,'Threat Scenarios'!$D$2:$D$88,TRUE())&gt;0,"TRUE","FALSE"))</f>
        <v>TRUE</v>
      </c>
      <c r="D27" s="11" t="str">
        <f aca="false">IF(COUNTIFS('Threat Scenarios'!$C$2:$C$88,$A27,'Threat Scenarios'!$E$2:$E$88,D$15)=0,"n/a",IF(COUNTIFS('Threat Scenarios'!$C$2:$C$88,$A27,'Threat Scenarios'!$E$2:$E$88,D$15,'Threat Scenarios'!$D$2:$D$88,TRUE())&gt;0,"TRUE","FALSE"))</f>
        <v>n/a</v>
      </c>
      <c r="E27" s="11" t="str">
        <f aca="false">IF(COUNTIFS('Threat Scenarios'!$C$2:$C$88,$A27,'Threat Scenarios'!$E$2:$E$88,E$15)=0,"n/a",IF(COUNTIFS('Threat Scenarios'!$C$2:$C$88,$A27,'Threat Scenarios'!$E$2:$E$88,E$15,'Threat Scenarios'!$D$2:$D$88,TRUE())&gt;0,"TRUE","FALSE"))</f>
        <v>FALSE</v>
      </c>
      <c r="F27" s="11" t="str">
        <f aca="false">IF(COUNTIFS('Threat Scenarios'!$C$2:$C$88,$A27,'Threat Scenarios'!$E$2:$E$88,F$15)=0,"n/a",IF(COUNTIFS('Threat Scenarios'!$C$2:$C$88,$A27,'Threat Scenarios'!$E$2:$E$88,F$15,'Threat Scenarios'!$D$2:$D$88,TRUE())&gt;0,"TRUE","FALSE"))</f>
        <v>TRUE</v>
      </c>
      <c r="G27" s="11" t="str">
        <f aca="false">IF(COUNTIFS('Threat Scenarios'!$C$2:$C$88,$A27,'Threat Scenarios'!$E$2:$E$88,G$15)=0,"n/a",IF(COUNTIFS('Threat Scenarios'!$C$2:$C$88,$A27,'Threat Scenarios'!$E$2:$E$88,G$15,'Threat Scenarios'!$D$2:$D$88,TRUE())&gt;0,"TRUE","FALSE"))</f>
        <v>n/a</v>
      </c>
      <c r="H27" s="8" t="n">
        <f aca="false">COUNTIFS('Threat Scenarios'!$C$2:$C$88,$A27,'Threat Scenarios'!$D$2:$D$88,TRUE())</f>
        <v>2</v>
      </c>
    </row>
    <row r="28" customFormat="false" ht="15" hidden="false" customHeight="false" outlineLevel="0" collapsed="false">
      <c r="A28" s="7" t="s">
        <v>157</v>
      </c>
      <c r="B28" s="11" t="str">
        <f aca="false">IF(COUNTIFS('Threat Scenarios'!$C$2:$C$88,$A28,'Threat Scenarios'!$E$2:$E$88,B$15)=0,"n/a",IF(COUNTIFS('Threat Scenarios'!$C$2:$C$88,$A28,'Threat Scenarios'!$E$2:$E$88,B$15,'Threat Scenarios'!$D$2:$D$88,TRUE())&gt;0,"TRUE","FALSE"))</f>
        <v>n/a</v>
      </c>
      <c r="C28" s="11" t="str">
        <f aca="false">IF(COUNTIFS('Threat Scenarios'!$C$2:$C$88,$A28,'Threat Scenarios'!$E$2:$E$88,C$15)=0,"n/a",IF(COUNTIFS('Threat Scenarios'!$C$2:$C$88,$A28,'Threat Scenarios'!$E$2:$E$88,C$15,'Threat Scenarios'!$D$2:$D$88,TRUE())&gt;0,"TRUE","FALSE"))</f>
        <v>TRUE</v>
      </c>
      <c r="D28" s="11" t="str">
        <f aca="false">IF(COUNTIFS('Threat Scenarios'!$C$2:$C$88,$A28,'Threat Scenarios'!$E$2:$E$88,D$15)=0,"n/a",IF(COUNTIFS('Threat Scenarios'!$C$2:$C$88,$A28,'Threat Scenarios'!$E$2:$E$88,D$15,'Threat Scenarios'!$D$2:$D$88,TRUE())&gt;0,"TRUE","FALSE"))</f>
        <v>n/a</v>
      </c>
      <c r="E28" s="11" t="str">
        <f aca="false">IF(COUNTIFS('Threat Scenarios'!$C$2:$C$88,$A28,'Threat Scenarios'!$E$2:$E$88,E$15)=0,"n/a",IF(COUNTIFS('Threat Scenarios'!$C$2:$C$88,$A28,'Threat Scenarios'!$E$2:$E$88,E$15,'Threat Scenarios'!$D$2:$D$88,TRUE())&gt;0,"TRUE","FALSE"))</f>
        <v>FALSE</v>
      </c>
      <c r="F28" s="11" t="str">
        <f aca="false">IF(COUNTIFS('Threat Scenarios'!$C$2:$C$88,$A28,'Threat Scenarios'!$E$2:$E$88,F$15)=0,"n/a",IF(COUNTIFS('Threat Scenarios'!$C$2:$C$88,$A28,'Threat Scenarios'!$E$2:$E$88,F$15,'Threat Scenarios'!$D$2:$D$88,TRUE())&gt;0,"TRUE","FALSE"))</f>
        <v>TRUE</v>
      </c>
      <c r="G28" s="11" t="str">
        <f aca="false">IF(COUNTIFS('Threat Scenarios'!$C$2:$C$88,$A28,'Threat Scenarios'!$E$2:$E$88,G$15)=0,"n/a",IF(COUNTIFS('Threat Scenarios'!$C$2:$C$88,$A28,'Threat Scenarios'!$E$2:$E$88,G$15,'Threat Scenarios'!$D$2:$D$88,TRUE())&gt;0,"TRUE","FALSE"))</f>
        <v>n/a</v>
      </c>
      <c r="H28" s="8" t="n">
        <f aca="false">COUNTIFS('Threat Scenarios'!$C$2:$C$88,$A28,'Threat Scenarios'!$D$2:$D$88,TRUE())</f>
        <v>2</v>
      </c>
    </row>
    <row r="29" customFormat="false" ht="15" hidden="false" customHeight="false" outlineLevel="0" collapsed="false">
      <c r="A29" s="7" t="s">
        <v>164</v>
      </c>
      <c r="B29" s="11" t="str">
        <f aca="false">IF(COUNTIFS('Threat Scenarios'!$C$2:$C$88,$A29,'Threat Scenarios'!$E$2:$E$88,B$15)=0,"n/a",IF(COUNTIFS('Threat Scenarios'!$C$2:$C$88,$A29,'Threat Scenarios'!$E$2:$E$88,B$15,'Threat Scenarios'!$D$2:$D$88,TRUE())&gt;0,"TRUE","FALSE"))</f>
        <v>n/a</v>
      </c>
      <c r="C29" s="11" t="str">
        <f aca="false">IF(COUNTIFS('Threat Scenarios'!$C$2:$C$88,$A29,'Threat Scenarios'!$E$2:$E$88,C$15)=0,"n/a",IF(COUNTIFS('Threat Scenarios'!$C$2:$C$88,$A29,'Threat Scenarios'!$E$2:$E$88,C$15,'Threat Scenarios'!$D$2:$D$88,TRUE())&gt;0,"TRUE","FALSE"))</f>
        <v>TRUE</v>
      </c>
      <c r="D29" s="11" t="str">
        <f aca="false">IF(COUNTIFS('Threat Scenarios'!$C$2:$C$88,$A29,'Threat Scenarios'!$E$2:$E$88,D$15)=0,"n/a",IF(COUNTIFS('Threat Scenarios'!$C$2:$C$88,$A29,'Threat Scenarios'!$E$2:$E$88,D$15,'Threat Scenarios'!$D$2:$D$88,TRUE())&gt;0,"TRUE","FALSE"))</f>
        <v>n/a</v>
      </c>
      <c r="E29" s="11" t="str">
        <f aca="false">IF(COUNTIFS('Threat Scenarios'!$C$2:$C$88,$A29,'Threat Scenarios'!$E$2:$E$88,E$15)=0,"n/a",IF(COUNTIFS('Threat Scenarios'!$C$2:$C$88,$A29,'Threat Scenarios'!$E$2:$E$88,E$15,'Threat Scenarios'!$D$2:$D$88,TRUE())&gt;0,"TRUE","FALSE"))</f>
        <v>FALSE</v>
      </c>
      <c r="F29" s="11" t="str">
        <f aca="false">IF(COUNTIFS('Threat Scenarios'!$C$2:$C$88,$A29,'Threat Scenarios'!$E$2:$E$88,F$15)=0,"n/a",IF(COUNTIFS('Threat Scenarios'!$C$2:$C$88,$A29,'Threat Scenarios'!$E$2:$E$88,F$15,'Threat Scenarios'!$D$2:$D$88,TRUE())&gt;0,"TRUE","FALSE"))</f>
        <v>TRUE</v>
      </c>
      <c r="G29" s="11" t="str">
        <f aca="false">IF(COUNTIFS('Threat Scenarios'!$C$2:$C$88,$A29,'Threat Scenarios'!$E$2:$E$88,G$15)=0,"n/a",IF(COUNTIFS('Threat Scenarios'!$C$2:$C$88,$A29,'Threat Scenarios'!$E$2:$E$88,G$15,'Threat Scenarios'!$D$2:$D$88,TRUE())&gt;0,"TRUE","FALSE"))</f>
        <v>n/a</v>
      </c>
      <c r="H29" s="8" t="n">
        <f aca="false">COUNTIFS('Threat Scenarios'!$C$2:$C$88,$A29,'Threat Scenarios'!$D$2:$D$88,TRUE())</f>
        <v>2</v>
      </c>
    </row>
    <row r="30" customFormat="false" ht="15" hidden="false" customHeight="false" outlineLevel="0" collapsed="false">
      <c r="A30" s="7" t="s">
        <v>171</v>
      </c>
      <c r="B30" s="11" t="str">
        <f aca="false">IF(COUNTIFS('Threat Scenarios'!$C$2:$C$88,$A30,'Threat Scenarios'!$E$2:$E$88,B$15)=0,"n/a",IF(COUNTIFS('Threat Scenarios'!$C$2:$C$88,$A30,'Threat Scenarios'!$E$2:$E$88,B$15,'Threat Scenarios'!$D$2:$D$88,TRUE())&gt;0,"TRUE","FALSE"))</f>
        <v>n/a</v>
      </c>
      <c r="C30" s="11" t="str">
        <f aca="false">IF(COUNTIFS('Threat Scenarios'!$C$2:$C$88,$A30,'Threat Scenarios'!$E$2:$E$88,C$15)=0,"n/a",IF(COUNTIFS('Threat Scenarios'!$C$2:$C$88,$A30,'Threat Scenarios'!$E$2:$E$88,C$15,'Threat Scenarios'!$D$2:$D$88,TRUE())&gt;0,"TRUE","FALSE"))</f>
        <v>TRUE</v>
      </c>
      <c r="D30" s="11" t="str">
        <f aca="false">IF(COUNTIFS('Threat Scenarios'!$C$2:$C$88,$A30,'Threat Scenarios'!$E$2:$E$88,D$15)=0,"n/a",IF(COUNTIFS('Threat Scenarios'!$C$2:$C$88,$A30,'Threat Scenarios'!$E$2:$E$88,D$15,'Threat Scenarios'!$D$2:$D$88,TRUE())&gt;0,"TRUE","FALSE"))</f>
        <v>n/a</v>
      </c>
      <c r="E30" s="11" t="str">
        <f aca="false">IF(COUNTIFS('Threat Scenarios'!$C$2:$C$88,$A30,'Threat Scenarios'!$E$2:$E$88,E$15)=0,"n/a",IF(COUNTIFS('Threat Scenarios'!$C$2:$C$88,$A30,'Threat Scenarios'!$E$2:$E$88,E$15,'Threat Scenarios'!$D$2:$D$88,TRUE())&gt;0,"TRUE","FALSE"))</f>
        <v>FALSE</v>
      </c>
      <c r="F30" s="11" t="str">
        <f aca="false">IF(COUNTIFS('Threat Scenarios'!$C$2:$C$88,$A30,'Threat Scenarios'!$E$2:$E$88,F$15)=0,"n/a",IF(COUNTIFS('Threat Scenarios'!$C$2:$C$88,$A30,'Threat Scenarios'!$E$2:$E$88,F$15,'Threat Scenarios'!$D$2:$D$88,TRUE())&gt;0,"TRUE","FALSE"))</f>
        <v>TRUE</v>
      </c>
      <c r="G30" s="11" t="str">
        <f aca="false">IF(COUNTIFS('Threat Scenarios'!$C$2:$C$88,$A30,'Threat Scenarios'!$E$2:$E$88,G$15)=0,"n/a",IF(COUNTIFS('Threat Scenarios'!$C$2:$C$88,$A30,'Threat Scenarios'!$E$2:$E$88,G$15,'Threat Scenarios'!$D$2:$D$88,TRUE())&gt;0,"TRUE","FALSE"))</f>
        <v>n/a</v>
      </c>
      <c r="H30" s="8" t="n">
        <f aca="false">COUNTIFS('Threat Scenarios'!$C$2:$C$88,$A30,'Threat Scenarios'!$D$2:$D$88,TRUE())</f>
        <v>2</v>
      </c>
    </row>
    <row r="31" customFormat="false" ht="15" hidden="false" customHeight="false" outlineLevel="0" collapsed="false">
      <c r="A31" s="7" t="s">
        <v>178</v>
      </c>
      <c r="B31" s="11" t="str">
        <f aca="false">IF(COUNTIFS('Threat Scenarios'!$C$2:$C$88,$A31,'Threat Scenarios'!$E$2:$E$88,B$15)=0,"n/a",IF(COUNTIFS('Threat Scenarios'!$C$2:$C$88,$A31,'Threat Scenarios'!$E$2:$E$88,B$15,'Threat Scenarios'!$D$2:$D$88,TRUE())&gt;0,"TRUE","FALSE"))</f>
        <v>n/a</v>
      </c>
      <c r="C31" s="11" t="str">
        <f aca="false">IF(COUNTIFS('Threat Scenarios'!$C$2:$C$88,$A31,'Threat Scenarios'!$E$2:$E$88,C$15)=0,"n/a",IF(COUNTIFS('Threat Scenarios'!$C$2:$C$88,$A31,'Threat Scenarios'!$E$2:$E$88,C$15,'Threat Scenarios'!$D$2:$D$88,TRUE())&gt;0,"TRUE","FALSE"))</f>
        <v>TRUE</v>
      </c>
      <c r="D31" s="11" t="str">
        <f aca="false">IF(COUNTIFS('Threat Scenarios'!$C$2:$C$88,$A31,'Threat Scenarios'!$E$2:$E$88,D$15)=0,"n/a",IF(COUNTIFS('Threat Scenarios'!$C$2:$C$88,$A31,'Threat Scenarios'!$E$2:$E$88,D$15,'Threat Scenarios'!$D$2:$D$88,TRUE())&gt;0,"TRUE","FALSE"))</f>
        <v>n/a</v>
      </c>
      <c r="E31" s="11" t="str">
        <f aca="false">IF(COUNTIFS('Threat Scenarios'!$C$2:$C$88,$A31,'Threat Scenarios'!$E$2:$E$88,E$15)=0,"n/a",IF(COUNTIFS('Threat Scenarios'!$C$2:$C$88,$A31,'Threat Scenarios'!$E$2:$E$88,E$15,'Threat Scenarios'!$D$2:$D$88,TRUE())&gt;0,"TRUE","FALSE"))</f>
        <v>FALSE</v>
      </c>
      <c r="F31" s="11" t="str">
        <f aca="false">IF(COUNTIFS('Threat Scenarios'!$C$2:$C$88,$A31,'Threat Scenarios'!$E$2:$E$88,F$15)=0,"n/a",IF(COUNTIFS('Threat Scenarios'!$C$2:$C$88,$A31,'Threat Scenarios'!$E$2:$E$88,F$15,'Threat Scenarios'!$D$2:$D$88,TRUE())&gt;0,"TRUE","FALSE"))</f>
        <v>TRUE</v>
      </c>
      <c r="G31" s="11" t="str">
        <f aca="false">IF(COUNTIFS('Threat Scenarios'!$C$2:$C$88,$A31,'Threat Scenarios'!$E$2:$E$88,G$15)=0,"n/a",IF(COUNTIFS('Threat Scenarios'!$C$2:$C$88,$A31,'Threat Scenarios'!$E$2:$E$88,G$15,'Threat Scenarios'!$D$2:$D$88,TRUE())&gt;0,"TRUE","FALSE"))</f>
        <v>n/a</v>
      </c>
      <c r="H31" s="8" t="n">
        <f aca="false">COUNTIFS('Threat Scenarios'!$C$2:$C$88,$A31,'Threat Scenarios'!$D$2:$D$88,TRUE())</f>
        <v>2</v>
      </c>
    </row>
    <row r="32" customFormat="false" ht="15" hidden="false" customHeight="false" outlineLevel="0" collapsed="false">
      <c r="A32" s="7" t="s">
        <v>185</v>
      </c>
      <c r="B32" s="11" t="str">
        <f aca="false">IF(COUNTIFS('Threat Scenarios'!$C$2:$C$88,$A32,'Threat Scenarios'!$E$2:$E$88,B$15)=0,"n/a",IF(COUNTIFS('Threat Scenarios'!$C$2:$C$88,$A32,'Threat Scenarios'!$E$2:$E$88,B$15,'Threat Scenarios'!$D$2:$D$88,TRUE())&gt;0,"TRUE","FALSE"))</f>
        <v>n/a</v>
      </c>
      <c r="C32" s="11" t="str">
        <f aca="false">IF(COUNTIFS('Threat Scenarios'!$C$2:$C$88,$A32,'Threat Scenarios'!$E$2:$E$88,C$15)=0,"n/a",IF(COUNTIFS('Threat Scenarios'!$C$2:$C$88,$A32,'Threat Scenarios'!$E$2:$E$88,C$15,'Threat Scenarios'!$D$2:$D$88,TRUE())&gt;0,"TRUE","FALSE"))</f>
        <v>TRUE</v>
      </c>
      <c r="D32" s="11" t="str">
        <f aca="false">IF(COUNTIFS('Threat Scenarios'!$C$2:$C$88,$A32,'Threat Scenarios'!$E$2:$E$88,D$15)=0,"n/a",IF(COUNTIFS('Threat Scenarios'!$C$2:$C$88,$A32,'Threat Scenarios'!$E$2:$E$88,D$15,'Threat Scenarios'!$D$2:$D$88,TRUE())&gt;0,"TRUE","FALSE"))</f>
        <v>n/a</v>
      </c>
      <c r="E32" s="11" t="str">
        <f aca="false">IF(COUNTIFS('Threat Scenarios'!$C$2:$C$88,$A32,'Threat Scenarios'!$E$2:$E$88,E$15)=0,"n/a",IF(COUNTIFS('Threat Scenarios'!$C$2:$C$88,$A32,'Threat Scenarios'!$E$2:$E$88,E$15,'Threat Scenarios'!$D$2:$D$88,TRUE())&gt;0,"TRUE","FALSE"))</f>
        <v>FALSE</v>
      </c>
      <c r="F32" s="11" t="str">
        <f aca="false">IF(COUNTIFS('Threat Scenarios'!$C$2:$C$88,$A32,'Threat Scenarios'!$E$2:$E$88,F$15)=0,"n/a",IF(COUNTIFS('Threat Scenarios'!$C$2:$C$88,$A32,'Threat Scenarios'!$E$2:$E$88,F$15,'Threat Scenarios'!$D$2:$D$88,TRUE())&gt;0,"TRUE","FALSE"))</f>
        <v>TRUE</v>
      </c>
      <c r="G32" s="11" t="str">
        <f aca="false">IF(COUNTIFS('Threat Scenarios'!$C$2:$C$88,$A32,'Threat Scenarios'!$E$2:$E$88,G$15)=0,"n/a",IF(COUNTIFS('Threat Scenarios'!$C$2:$C$88,$A32,'Threat Scenarios'!$E$2:$E$88,G$15,'Threat Scenarios'!$D$2:$D$88,TRUE())&gt;0,"TRUE","FALSE"))</f>
        <v>n/a</v>
      </c>
      <c r="H32" s="8" t="n">
        <f aca="false">COUNTIFS('Threat Scenarios'!$C$2:$C$88,$A32,'Threat Scenarios'!$D$2:$D$88,TRUE())</f>
        <v>2</v>
      </c>
    </row>
    <row r="33" customFormat="false" ht="15" hidden="false" customHeight="false" outlineLevel="0" collapsed="false">
      <c r="A33" s="7" t="s">
        <v>192</v>
      </c>
      <c r="B33" s="11" t="str">
        <f aca="false">IF(COUNTIFS('Threat Scenarios'!$C$2:$C$88,$A33,'Threat Scenarios'!$E$2:$E$88,B$15)=0,"n/a",IF(COUNTIFS('Threat Scenarios'!$C$2:$C$88,$A33,'Threat Scenarios'!$E$2:$E$88,B$15,'Threat Scenarios'!$D$2:$D$88,TRUE())&gt;0,"TRUE","FALSE"))</f>
        <v>n/a</v>
      </c>
      <c r="C33" s="11" t="str">
        <f aca="false">IF(COUNTIFS('Threat Scenarios'!$C$2:$C$88,$A33,'Threat Scenarios'!$E$2:$E$88,C$15)=0,"n/a",IF(COUNTIFS('Threat Scenarios'!$C$2:$C$88,$A33,'Threat Scenarios'!$E$2:$E$88,C$15,'Threat Scenarios'!$D$2:$D$88,TRUE())&gt;0,"TRUE","FALSE"))</f>
        <v>TRUE</v>
      </c>
      <c r="D33" s="11" t="str">
        <f aca="false">IF(COUNTIFS('Threat Scenarios'!$C$2:$C$88,$A33,'Threat Scenarios'!$E$2:$E$88,D$15)=0,"n/a",IF(COUNTIFS('Threat Scenarios'!$C$2:$C$88,$A33,'Threat Scenarios'!$E$2:$E$88,D$15,'Threat Scenarios'!$D$2:$D$88,TRUE())&gt;0,"TRUE","FALSE"))</f>
        <v>n/a</v>
      </c>
      <c r="E33" s="11" t="str">
        <f aca="false">IF(COUNTIFS('Threat Scenarios'!$C$2:$C$88,$A33,'Threat Scenarios'!$E$2:$E$88,E$15)=0,"n/a",IF(COUNTIFS('Threat Scenarios'!$C$2:$C$88,$A33,'Threat Scenarios'!$E$2:$E$88,E$15,'Threat Scenarios'!$D$2:$D$88,TRUE())&gt;0,"TRUE","FALSE"))</f>
        <v>FALSE</v>
      </c>
      <c r="F33" s="11" t="str">
        <f aca="false">IF(COUNTIFS('Threat Scenarios'!$C$2:$C$88,$A33,'Threat Scenarios'!$E$2:$E$88,F$15)=0,"n/a",IF(COUNTIFS('Threat Scenarios'!$C$2:$C$88,$A33,'Threat Scenarios'!$E$2:$E$88,F$15,'Threat Scenarios'!$D$2:$D$88,TRUE())&gt;0,"TRUE","FALSE"))</f>
        <v>TRUE</v>
      </c>
      <c r="G33" s="11" t="str">
        <f aca="false">IF(COUNTIFS('Threat Scenarios'!$C$2:$C$88,$A33,'Threat Scenarios'!$E$2:$E$88,G$15)=0,"n/a",IF(COUNTIFS('Threat Scenarios'!$C$2:$C$88,$A33,'Threat Scenarios'!$E$2:$E$88,G$15,'Threat Scenarios'!$D$2:$D$88,TRUE())&gt;0,"TRUE","FALSE"))</f>
        <v>n/a</v>
      </c>
      <c r="H33" s="8" t="n">
        <f aca="false">COUNTIFS('Threat Scenarios'!$C$2:$C$88,$A33,'Threat Scenarios'!$D$2:$D$88,TRUE())</f>
        <v>2</v>
      </c>
    </row>
    <row r="34" customFormat="false" ht="15" hidden="false" customHeight="false" outlineLevel="0" collapsed="false">
      <c r="A34" s="7" t="s">
        <v>199</v>
      </c>
      <c r="B34" s="11" t="str">
        <f aca="false">IF(COUNTIFS('Threat Scenarios'!$C$2:$C$88,$A34,'Threat Scenarios'!$E$2:$E$88,B$15)=0,"n/a",IF(COUNTIFS('Threat Scenarios'!$C$2:$C$88,$A34,'Threat Scenarios'!$E$2:$E$88,B$15,'Threat Scenarios'!$D$2:$D$88,TRUE())&gt;0,"TRUE","FALSE"))</f>
        <v>n/a</v>
      </c>
      <c r="C34" s="11" t="str">
        <f aca="false">IF(COUNTIFS('Threat Scenarios'!$C$2:$C$88,$A34,'Threat Scenarios'!$E$2:$E$88,C$15)=0,"n/a",IF(COUNTIFS('Threat Scenarios'!$C$2:$C$88,$A34,'Threat Scenarios'!$E$2:$E$88,C$15,'Threat Scenarios'!$D$2:$D$88,TRUE())&gt;0,"TRUE","FALSE"))</f>
        <v>TRUE</v>
      </c>
      <c r="D34" s="11" t="str">
        <f aca="false">IF(COUNTIFS('Threat Scenarios'!$C$2:$C$88,$A34,'Threat Scenarios'!$E$2:$E$88,D$15)=0,"n/a",IF(COUNTIFS('Threat Scenarios'!$C$2:$C$88,$A34,'Threat Scenarios'!$E$2:$E$88,D$15,'Threat Scenarios'!$D$2:$D$88,TRUE())&gt;0,"TRUE","FALSE"))</f>
        <v>n/a</v>
      </c>
      <c r="E34" s="11" t="str">
        <f aca="false">IF(COUNTIFS('Threat Scenarios'!$C$2:$C$88,$A34,'Threat Scenarios'!$E$2:$E$88,E$15)=0,"n/a",IF(COUNTIFS('Threat Scenarios'!$C$2:$C$88,$A34,'Threat Scenarios'!$E$2:$E$88,E$15,'Threat Scenarios'!$D$2:$D$88,TRUE())&gt;0,"TRUE","FALSE"))</f>
        <v>FALSE</v>
      </c>
      <c r="F34" s="11" t="str">
        <f aca="false">IF(COUNTIFS('Threat Scenarios'!$C$2:$C$88,$A34,'Threat Scenarios'!$E$2:$E$88,F$15)=0,"n/a",IF(COUNTIFS('Threat Scenarios'!$C$2:$C$88,$A34,'Threat Scenarios'!$E$2:$E$88,F$15,'Threat Scenarios'!$D$2:$D$88,TRUE())&gt;0,"TRUE","FALSE"))</f>
        <v>TRUE</v>
      </c>
      <c r="G34" s="11" t="str">
        <f aca="false">IF(COUNTIFS('Threat Scenarios'!$C$2:$C$88,$A34,'Threat Scenarios'!$E$2:$E$88,G$15)=0,"n/a",IF(COUNTIFS('Threat Scenarios'!$C$2:$C$88,$A34,'Threat Scenarios'!$E$2:$E$88,G$15,'Threat Scenarios'!$D$2:$D$88,TRUE())&gt;0,"TRUE","FALSE"))</f>
        <v>n/a</v>
      </c>
      <c r="H34" s="8" t="n">
        <f aca="false">COUNTIFS('Threat Scenarios'!$C$2:$C$88,$A34,'Threat Scenarios'!$D$2:$D$88,TRUE())</f>
        <v>2</v>
      </c>
    </row>
  </sheetData>
  <conditionalFormatting sqref="B16:G34">
    <cfRule type="cellIs" priority="2" operator="equal" aboveAverage="0" equalAverage="0" bottom="0" percent="0" rank="0" text="" dxfId="5">
      <formula>"TRUE"</formula>
    </cfRule>
    <cfRule type="cellIs" priority="3" operator="equal" aboveAverage="0" equalAverage="0" bottom="0" percent="0" rank="0" text="" dxfId="6">
      <formula>"FALSE"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2" t="s">
        <v>212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4" t="s">
        <v>213</v>
      </c>
    </row>
    <row r="4" customFormat="false" ht="15" hidden="false" customHeight="false" outlineLevel="0" collapsed="false">
      <c r="A4" s="13" t="s">
        <v>214</v>
      </c>
    </row>
    <row r="5" customFormat="false" ht="15" hidden="false" customHeight="false" outlineLevel="0" collapsed="false">
      <c r="A5" s="13" t="s">
        <v>215</v>
      </c>
    </row>
    <row r="6" customFormat="false" ht="23.85" hidden="false" customHeight="false" outlineLevel="0" collapsed="false">
      <c r="A6" s="13" t="s">
        <v>216</v>
      </c>
    </row>
    <row r="7" customFormat="false" ht="23.85" hidden="false" customHeight="false" outlineLevel="0" collapsed="false">
      <c r="A7" s="13" t="s">
        <v>217</v>
      </c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4" t="s">
        <v>218</v>
      </c>
    </row>
    <row r="10" customFormat="false" ht="23.85" hidden="false" customHeight="false" outlineLevel="0" collapsed="false">
      <c r="A10" s="13" t="s">
        <v>219</v>
      </c>
    </row>
    <row r="11" customFormat="false" ht="15" hidden="false" customHeight="false" outlineLevel="0" collapsed="false">
      <c r="A11" s="13" t="s">
        <v>220</v>
      </c>
    </row>
    <row r="12" customFormat="false" ht="23.85" hidden="false" customHeight="false" outlineLevel="0" collapsed="false">
      <c r="A12" s="13" t="s">
        <v>221</v>
      </c>
    </row>
    <row r="13" customFormat="false" ht="15" hidden="false" customHeight="false" outlineLevel="0" collapsed="false">
      <c r="A13" s="13" t="s">
        <v>222</v>
      </c>
    </row>
    <row r="14" customFormat="false" ht="15" hidden="false" customHeight="false" outlineLevel="0" collapsed="false">
      <c r="A14" s="13"/>
    </row>
    <row r="15" customFormat="false" ht="15" hidden="false" customHeight="false" outlineLevel="0" collapsed="false">
      <c r="A15" s="14" t="s">
        <v>223</v>
      </c>
    </row>
    <row r="16" customFormat="false" ht="23.85" hidden="false" customHeight="false" outlineLevel="0" collapsed="false">
      <c r="A16" s="13" t="s">
        <v>224</v>
      </c>
    </row>
    <row r="17" customFormat="false" ht="15" hidden="false" customHeight="false" outlineLevel="0" collapsed="false">
      <c r="A17" s="13" t="s">
        <v>225</v>
      </c>
    </row>
    <row r="18" customFormat="false" ht="23.85" hidden="false" customHeight="false" outlineLevel="0" collapsed="false">
      <c r="A18" s="13" t="s">
        <v>226</v>
      </c>
    </row>
    <row r="19" customFormat="false" ht="23.85" hidden="false" customHeight="false" outlineLevel="0" collapsed="false">
      <c r="A19" s="13" t="s">
        <v>227</v>
      </c>
    </row>
    <row r="20" customFormat="false" ht="15" hidden="false" customHeight="false" outlineLevel="0" collapsed="false">
      <c r="A20" s="13" t="s">
        <v>228</v>
      </c>
    </row>
    <row r="21" customFormat="false" ht="23.85" hidden="false" customHeight="false" outlineLevel="0" collapsed="false">
      <c r="A21" s="13" t="s">
        <v>229</v>
      </c>
    </row>
    <row r="22" customFormat="false" ht="23.85" hidden="false" customHeight="false" outlineLevel="0" collapsed="false">
      <c r="A22" s="13" t="s">
        <v>230</v>
      </c>
    </row>
    <row r="23" customFormat="false" ht="15" hidden="false" customHeight="false" outlineLevel="0" collapsed="false">
      <c r="A23" s="13"/>
    </row>
    <row r="24" customFormat="false" ht="15" hidden="false" customHeight="false" outlineLevel="0" collapsed="false">
      <c r="A24" s="14" t="s">
        <v>231</v>
      </c>
    </row>
    <row r="25" customFormat="false" ht="23.85" hidden="false" customHeight="false" outlineLevel="0" collapsed="false">
      <c r="A25" s="13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2026-09-28T07:52:01Z</dcterms:created>
  <dc:creator>openpyxl</dc:creator>
  <dc:description/>
  <dc:language>en-US</dc:language>
  <cp:lastModifiedBy/>
  <dcterms:modified xsi:type="dcterms:W3CDTF">2026-09-28T07:52:01Z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